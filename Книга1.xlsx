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tab\"/>
    </mc:Choice>
  </mc:AlternateContent>
  <xr:revisionPtr revIDLastSave="0" documentId="8_{C61841AF-C5FF-45D7-9A7C-0A99A9F77652}" xr6:coauthVersionLast="47" xr6:coauthVersionMax="47" xr10:uidLastSave="{00000000-0000-0000-0000-000000000000}"/>
  <bookViews>
    <workbookView xWindow="-120" yWindow="-120" windowWidth="29040" windowHeight="15840" xr2:uid="{37BE308D-802E-4C61-9A80-019054FFD303}"/>
  </bookViews>
  <sheets>
    <sheet name="Лист1" sheetId="1" r:id="rId1"/>
  </sheets>
  <externalReferences>
    <externalReference r:id="rId2"/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S52" i="1" l="1"/>
  <c r="AR52" i="1"/>
  <c r="AQ52" i="1"/>
  <c r="AP52" i="1"/>
  <c r="AO52" i="1"/>
  <c r="AN52" i="1"/>
  <c r="AM52" i="1"/>
  <c r="AL52" i="1"/>
  <c r="AK52" i="1"/>
  <c r="AJ52" i="1"/>
  <c r="AI52" i="1"/>
  <c r="AH52" i="1"/>
  <c r="AG52" i="1"/>
  <c r="AF52" i="1"/>
  <c r="AE52" i="1"/>
  <c r="AD52" i="1"/>
  <c r="AC52" i="1"/>
  <c r="AB52" i="1"/>
  <c r="AA52" i="1"/>
  <c r="Z52" i="1"/>
  <c r="Y52" i="1"/>
  <c r="X52" i="1"/>
  <c r="W52" i="1"/>
  <c r="V52" i="1"/>
  <c r="U52" i="1"/>
  <c r="T52" i="1"/>
  <c r="S52" i="1"/>
  <c r="R52" i="1"/>
  <c r="Q52" i="1"/>
  <c r="P52" i="1"/>
  <c r="O52" i="1"/>
  <c r="N52" i="1"/>
  <c r="M52" i="1"/>
  <c r="L52" i="1"/>
  <c r="K52" i="1"/>
  <c r="J52" i="1"/>
  <c r="I52" i="1"/>
  <c r="H52" i="1"/>
  <c r="G52" i="1"/>
  <c r="F52" i="1"/>
  <c r="E52" i="1"/>
  <c r="D52" i="1"/>
  <c r="C52" i="1"/>
  <c r="AS12" i="1"/>
  <c r="AR12" i="1"/>
  <c r="AQ12" i="1"/>
  <c r="AP12" i="1"/>
  <c r="AO12" i="1"/>
  <c r="AN12" i="1"/>
  <c r="AM12" i="1"/>
  <c r="AL12" i="1"/>
  <c r="AK12" i="1"/>
  <c r="AJ12" i="1"/>
  <c r="AI12" i="1"/>
  <c r="AH12" i="1"/>
  <c r="AG12" i="1"/>
  <c r="AF12" i="1"/>
  <c r="AE12" i="1"/>
  <c r="AD12" i="1"/>
  <c r="AC12" i="1"/>
  <c r="AB12" i="1"/>
  <c r="AA12" i="1"/>
  <c r="Z12" i="1"/>
  <c r="Y12" i="1"/>
  <c r="X12" i="1"/>
  <c r="W12" i="1"/>
  <c r="V12" i="1"/>
  <c r="U12" i="1"/>
  <c r="T12" i="1"/>
  <c r="S12" i="1"/>
  <c r="R12" i="1"/>
  <c r="Q12" i="1"/>
  <c r="P12" i="1"/>
  <c r="O12" i="1"/>
  <c r="N12" i="1"/>
  <c r="M12" i="1"/>
  <c r="L12" i="1"/>
  <c r="K12" i="1"/>
  <c r="J12" i="1"/>
  <c r="I12" i="1"/>
  <c r="H12" i="1"/>
  <c r="G12" i="1"/>
  <c r="F12" i="1"/>
  <c r="E12" i="1"/>
  <c r="D12" i="1"/>
  <c r="C12" i="1"/>
  <c r="AS11" i="1"/>
  <c r="AR11" i="1"/>
  <c r="AQ11" i="1"/>
  <c r="AP11" i="1"/>
  <c r="AO11" i="1"/>
  <c r="AN11" i="1"/>
  <c r="AM11" i="1"/>
  <c r="AL11" i="1"/>
  <c r="AK11" i="1"/>
  <c r="AJ11" i="1"/>
  <c r="AI11" i="1"/>
  <c r="AH11" i="1"/>
  <c r="AG11" i="1"/>
  <c r="AF11" i="1"/>
  <c r="AE11" i="1"/>
  <c r="AD11" i="1"/>
  <c r="AC11" i="1"/>
  <c r="AB11" i="1"/>
  <c r="AA11" i="1"/>
  <c r="Z11" i="1"/>
  <c r="Y11" i="1"/>
  <c r="X11" i="1"/>
  <c r="W11" i="1"/>
  <c r="V11" i="1"/>
  <c r="U11" i="1"/>
  <c r="T11" i="1"/>
  <c r="S11" i="1"/>
  <c r="R11" i="1"/>
  <c r="Q11" i="1"/>
  <c r="P11" i="1"/>
  <c r="O11" i="1"/>
  <c r="N11" i="1"/>
  <c r="M11" i="1"/>
  <c r="L11" i="1"/>
  <c r="K11" i="1"/>
  <c r="J11" i="1"/>
  <c r="I11" i="1"/>
  <c r="H11" i="1"/>
  <c r="G11" i="1"/>
  <c r="F11" i="1"/>
  <c r="E11" i="1"/>
  <c r="D11" i="1"/>
  <c r="C11" i="1"/>
  <c r="U8" i="1"/>
  <c r="S8" i="1"/>
</calcChain>
</file>

<file path=xl/sharedStrings.xml><?xml version="1.0" encoding="utf-8"?>
<sst xmlns="http://schemas.openxmlformats.org/spreadsheetml/2006/main" count="51" uniqueCount="51">
  <si>
    <t>ЗАЯВКА</t>
  </si>
  <si>
    <t>на обеспечение продуктами питания и средствами личной гигиены за счет личных средств ПСУ отделения общего типа № 1</t>
  </si>
  <si>
    <t>на</t>
  </si>
  <si>
    <t>года.</t>
  </si>
  <si>
    <t>№ п/п</t>
  </si>
  <si>
    <t>ФИО</t>
  </si>
  <si>
    <t>Наименование товара</t>
  </si>
  <si>
    <t>Ажнов Юрий Николаевич</t>
  </si>
  <si>
    <t xml:space="preserve">Айвазян Радик Христович                           </t>
  </si>
  <si>
    <t>Артёмов Валерий Николаевич</t>
  </si>
  <si>
    <t>Алимов Андрей Анатольевич</t>
  </si>
  <si>
    <t>Шаронов Леонид Иванович</t>
  </si>
  <si>
    <t xml:space="preserve">Байков Александр Владимирович            </t>
  </si>
  <si>
    <t>Григорьев Валерий Анатольевич</t>
  </si>
  <si>
    <t>Данишкин Валерий Иванович</t>
  </si>
  <si>
    <t xml:space="preserve">Емельянов Виктор Николаевич </t>
  </si>
  <si>
    <t>Кухов Олег Александрович</t>
  </si>
  <si>
    <t>Козлов Алексей Андреевич</t>
  </si>
  <si>
    <t xml:space="preserve">Меньшов Василий Иванович                        </t>
  </si>
  <si>
    <t>Марин Сергей Анатольевич</t>
  </si>
  <si>
    <t>Наумов Виталий Николаевич</t>
  </si>
  <si>
    <t xml:space="preserve">Пережогин Виталий Петрович                     </t>
  </si>
  <si>
    <t>Потапов Петр Степанович</t>
  </si>
  <si>
    <t>Петросян Виктор Вартанович</t>
  </si>
  <si>
    <t>Путютин Борис Анатольевич</t>
  </si>
  <si>
    <t>Ратников Михаил Александрович</t>
  </si>
  <si>
    <t>Рыбчинский Василий Васильевич</t>
  </si>
  <si>
    <t xml:space="preserve">Розмовенко Владислав Михайлович            </t>
  </si>
  <si>
    <t>Ревдов Вячеслав Анатольевич</t>
  </si>
  <si>
    <t xml:space="preserve">Степанов Дмитрий Алексеевич                    </t>
  </si>
  <si>
    <t>Скляров Владимир Владимирович</t>
  </si>
  <si>
    <t xml:space="preserve">Стульников Александр Сергеевич                </t>
  </si>
  <si>
    <t>Теплов Александр Иванович</t>
  </si>
  <si>
    <t>Токарев Алексей Иванович</t>
  </si>
  <si>
    <t>Трещев Николай Викторович</t>
  </si>
  <si>
    <t>Филин Сергей Николаевич</t>
  </si>
  <si>
    <t>Чуйков Валерий Михайлович</t>
  </si>
  <si>
    <t>Зайцев Сергей Николаевич</t>
  </si>
  <si>
    <t>Войлочников Олег Викторович</t>
  </si>
  <si>
    <t>Дёмин Иван Андреевич</t>
  </si>
  <si>
    <t>Чопоров Николай Иванович</t>
  </si>
  <si>
    <t>Пензин Петр Андреевич</t>
  </si>
  <si>
    <t>Елисеев Александр Васильевич</t>
  </si>
  <si>
    <t>Древин Виталий Борисович</t>
  </si>
  <si>
    <t>Голиков Олег Викторович</t>
  </si>
  <si>
    <t xml:space="preserve">Яваев Рефат Шахмярдянович                     </t>
  </si>
  <si>
    <t>ИТОГО</t>
  </si>
  <si>
    <t>Составил</t>
  </si>
  <si>
    <t>член опекунской комиссии</t>
  </si>
  <si>
    <t>подпись</t>
  </si>
  <si>
    <t>фио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</si>
</sst>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4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12"/>
      <color theme="1"/>
      <name val="Calibri"/>
      <family val="2"/>
      <charset val="204"/>
      <scheme val="minor"/>
    </font>
    <font>
      <b/>
      <sz val="14"/>
      <color rgb="FFFF0000"/>
      <name val="Times New Roman"/>
      <family val="1"/>
      <charset val="204"/>
    </font>
    <font>
      <b/>
      <sz val="12"/>
      <color rgb="FFFF0000"/>
      <name val="Times New Roman"/>
      <family val="1"/>
      <charset val="204"/>
    </font>
    <font>
      <b/>
      <u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2" fontId="3" fillId="0" borderId="3" xfId="0" applyNumberFormat="1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textRotation="90" wrapText="1"/>
    </xf>
    <xf numFmtId="0" fontId="3" fillId="0" borderId="2" xfId="0" applyFont="1" applyBorder="1" applyAlignment="1">
      <alignment horizontal="center" textRotation="90" wrapText="1"/>
    </xf>
    <xf numFmtId="0" fontId="4" fillId="0" borderId="2" xfId="0" applyFont="1" applyBorder="1" applyAlignment="1">
      <alignment horizontal="center" textRotation="90" wrapText="1"/>
    </xf>
    <xf numFmtId="0" fontId="3" fillId="0" borderId="4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5" fillId="0" borderId="6" xfId="0" applyFont="1" applyBorder="1" applyAlignment="1" applyProtection="1">
      <alignment horizontal="center" vertical="center"/>
      <protection locked="0"/>
    </xf>
    <xf numFmtId="0" fontId="6" fillId="0" borderId="2" xfId="0" applyFont="1" applyBorder="1" applyAlignment="1" applyProtection="1">
      <alignment horizontal="justify" vertical="center" wrapText="1"/>
      <protection locked="0"/>
    </xf>
    <xf numFmtId="0" fontId="6" fillId="0" borderId="5" xfId="0" applyFont="1" applyBorder="1" applyAlignment="1" applyProtection="1">
      <alignment horizontal="center" vertical="center"/>
      <protection locked="0"/>
    </xf>
    <xf numFmtId="0" fontId="6" fillId="0" borderId="2" xfId="0" applyFont="1" applyBorder="1" applyAlignment="1" applyProtection="1">
      <alignment horizontal="center" vertical="center"/>
      <protection locked="0"/>
    </xf>
    <xf numFmtId="0" fontId="7" fillId="0" borderId="2" xfId="0" applyFont="1" applyBorder="1" applyAlignment="1" applyProtection="1">
      <alignment horizontal="center" vertical="center"/>
      <protection locked="0"/>
    </xf>
    <xf numFmtId="0" fontId="6" fillId="0" borderId="7" xfId="0" applyFont="1" applyBorder="1" applyAlignment="1" applyProtection="1">
      <alignment horizontal="justify" vertical="center" wrapText="1"/>
      <protection locked="0"/>
    </xf>
    <xf numFmtId="0" fontId="6" fillId="0" borderId="2" xfId="0" applyFont="1" applyBorder="1" applyAlignment="1" applyProtection="1">
      <alignment vertical="center" wrapText="1"/>
      <protection locked="0"/>
    </xf>
    <xf numFmtId="0" fontId="6" fillId="0" borderId="2" xfId="0" applyFont="1" applyBorder="1" applyAlignment="1">
      <alignment vertical="center" wrapText="1"/>
    </xf>
    <xf numFmtId="0" fontId="6" fillId="0" borderId="8" xfId="0" applyFont="1" applyBorder="1" applyAlignment="1">
      <alignment vertical="center" wrapText="1"/>
    </xf>
    <xf numFmtId="0" fontId="6" fillId="0" borderId="2" xfId="0" applyFont="1" applyBorder="1" applyAlignment="1">
      <alignment horizontal="justify" vertical="center" wrapText="1"/>
    </xf>
    <xf numFmtId="0" fontId="4" fillId="2" borderId="2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left" vertical="center"/>
    </xf>
    <xf numFmtId="0" fontId="9" fillId="2" borderId="2" xfId="0" applyFont="1" applyFill="1" applyBorder="1" applyAlignment="1">
      <alignment horizontal="center" vertical="center"/>
    </xf>
    <xf numFmtId="0" fontId="3" fillId="0" borderId="0" xfId="0" applyFont="1" applyAlignment="1">
      <alignment horizontal="justify" vertical="center" wrapText="1"/>
    </xf>
    <xf numFmtId="0" fontId="3" fillId="0" borderId="0" xfId="0" applyFont="1"/>
    <xf numFmtId="0" fontId="1" fillId="0" borderId="9" xfId="0" applyFont="1" applyBorder="1" applyAlignment="1">
      <alignment horizontal="center"/>
    </xf>
    <xf numFmtId="0" fontId="10" fillId="0" borderId="9" xfId="0" applyFont="1" applyBorder="1" applyAlignment="1">
      <alignment horizontal="center"/>
    </xf>
    <xf numFmtId="0" fontId="4" fillId="0" borderId="0" xfId="0" applyFont="1" applyAlignment="1">
      <alignment horizontal="center"/>
    </xf>
  </cellXfs>
  <cellStyles count="1">
    <cellStyle name="Обычный" xfId="0" builtinId="0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38</xdr:col>
      <xdr:colOff>476250</xdr:colOff>
      <xdr:row>0</xdr:row>
      <xdr:rowOff>0</xdr:rowOff>
    </xdr:from>
    <xdr:to>
      <xdr:col>44</xdr:col>
      <xdr:colOff>506614</xdr:colOff>
      <xdr:row>9</xdr:row>
      <xdr:rowOff>0</xdr:rowOff>
    </xdr:to>
    <xdr:sp macro="" textlink="">
      <xdr:nvSpPr>
        <xdr:cNvPr id="2" name="Надпись 2">
          <a:extLst>
            <a:ext uri="{FF2B5EF4-FFF2-40B4-BE49-F238E27FC236}">
              <a16:creationId xmlns:a16="http://schemas.microsoft.com/office/drawing/2014/main" id="{8493C198-9FFE-48F2-824A-B917ACF26832}"/>
            </a:ext>
          </a:extLst>
        </xdr:cNvPr>
        <xdr:cNvSpPr txBox="1">
          <a:spLocks noChangeArrowheads="1"/>
        </xdr:cNvSpPr>
      </xdr:nvSpPr>
      <xdr:spPr bwMode="auto">
        <a:xfrm>
          <a:off x="21897975" y="0"/>
          <a:ext cx="3116464" cy="24860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rot="0" vert="horz" wrap="square" lIns="91440" tIns="45720" rIns="91440" bIns="45720" anchor="t" anchorCtr="0">
          <a:noAutofit/>
        </a:bodyPr>
        <a:lstStyle/>
        <a:p>
          <a:pPr algn="r">
            <a:lnSpc>
              <a:spcPct val="107000"/>
            </a:lnSpc>
            <a:spcAft>
              <a:spcPts val="0"/>
            </a:spcAft>
          </a:pPr>
          <a:r>
            <a:rPr lang="ru-RU" sz="1200">
              <a:effectLst/>
              <a:latin typeface="Times New Roman" panose="02020603050405020304" pitchFamily="18" charset="0"/>
              <a:ea typeface="Calibri" panose="020F0502020204030204" pitchFamily="34" charset="0"/>
              <a:cs typeface="Times New Roman" panose="02020603050405020304" pitchFamily="18" charset="0"/>
            </a:rPr>
            <a:t>Утверждаю</a:t>
          </a:r>
          <a:endParaRPr lang="ru-RU" sz="1200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  <a:p>
          <a:pPr algn="r">
            <a:lnSpc>
              <a:spcPct val="107000"/>
            </a:lnSpc>
            <a:spcAft>
              <a:spcPts val="0"/>
            </a:spcAft>
          </a:pPr>
          <a:r>
            <a:rPr lang="ru-RU" sz="1200">
              <a:effectLst/>
              <a:latin typeface="Times New Roman" panose="02020603050405020304" pitchFamily="18" charset="0"/>
              <a:ea typeface="Calibri" panose="020F0502020204030204" pitchFamily="34" charset="0"/>
              <a:cs typeface="Times New Roman" panose="02020603050405020304" pitchFamily="18" charset="0"/>
            </a:rPr>
            <a:t>Директор ГАУСО ПО «Сосновский психоневрологический интернат»</a:t>
          </a:r>
          <a:endParaRPr lang="ru-RU" sz="1200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  <a:p>
          <a:pPr algn="r">
            <a:lnSpc>
              <a:spcPct val="107000"/>
            </a:lnSpc>
            <a:spcAft>
              <a:spcPts val="0"/>
            </a:spcAft>
          </a:pPr>
          <a:r>
            <a:rPr lang="ru-RU" sz="1200">
              <a:effectLst/>
              <a:latin typeface="Times New Roman" panose="02020603050405020304" pitchFamily="18" charset="0"/>
              <a:ea typeface="Calibri" panose="020F0502020204030204" pitchFamily="34" charset="0"/>
              <a:cs typeface="Times New Roman" panose="02020603050405020304" pitchFamily="18" charset="0"/>
            </a:rPr>
            <a:t> </a:t>
          </a:r>
          <a:endParaRPr lang="ru-RU" sz="1200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  <a:p>
          <a:pPr marL="1348740" indent="449580" algn="r">
            <a:lnSpc>
              <a:spcPct val="107000"/>
            </a:lnSpc>
            <a:spcAft>
              <a:spcPts val="0"/>
            </a:spcAft>
          </a:pPr>
          <a:r>
            <a:rPr lang="ru-RU" sz="1200">
              <a:effectLst/>
              <a:latin typeface="Times New Roman" panose="02020603050405020304" pitchFamily="18" charset="0"/>
              <a:ea typeface="Calibri" panose="020F0502020204030204" pitchFamily="34" charset="0"/>
              <a:cs typeface="Times New Roman" panose="02020603050405020304" pitchFamily="18" charset="0"/>
            </a:rPr>
            <a:t> А.В. Гущин</a:t>
          </a:r>
          <a:endParaRPr lang="ru-RU" sz="1200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  <a:p>
          <a:pPr algn="r">
            <a:lnSpc>
              <a:spcPct val="107000"/>
            </a:lnSpc>
            <a:spcAft>
              <a:spcPts val="0"/>
            </a:spcAft>
          </a:pPr>
          <a:r>
            <a:rPr lang="ru-RU" sz="1200">
              <a:effectLst/>
              <a:latin typeface="Times New Roman" panose="02020603050405020304" pitchFamily="18" charset="0"/>
              <a:ea typeface="Calibri" panose="020F0502020204030204" pitchFamily="34" charset="0"/>
              <a:cs typeface="Times New Roman" panose="02020603050405020304" pitchFamily="18" charset="0"/>
            </a:rPr>
            <a:t>       </a:t>
          </a:r>
          <a:endParaRPr lang="ru-RU" sz="1200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  <a:p>
          <a:pPr algn="r">
            <a:lnSpc>
              <a:spcPct val="107000"/>
            </a:lnSpc>
            <a:spcAft>
              <a:spcPts val="0"/>
            </a:spcAft>
          </a:pPr>
          <a:r>
            <a:rPr lang="ru-RU" sz="1200">
              <a:effectLst/>
              <a:latin typeface="Times New Roman" panose="02020603050405020304" pitchFamily="18" charset="0"/>
              <a:ea typeface="Calibri" panose="020F0502020204030204" pitchFamily="34" charset="0"/>
              <a:cs typeface="Times New Roman" panose="02020603050405020304" pitchFamily="18" charset="0"/>
            </a:rPr>
            <a:t>        «____»_________2026</a:t>
          </a:r>
          <a:r>
            <a:rPr lang="en-US" sz="1200">
              <a:effectLst/>
              <a:latin typeface="Times New Roman" panose="02020603050405020304" pitchFamily="18" charset="0"/>
              <a:ea typeface="Calibri" panose="020F0502020204030204" pitchFamily="34" charset="0"/>
              <a:cs typeface="Times New Roman" panose="02020603050405020304" pitchFamily="18" charset="0"/>
            </a:rPr>
            <a:t> </a:t>
          </a:r>
          <a:r>
            <a:rPr lang="ru-RU" sz="1200">
              <a:effectLst/>
              <a:latin typeface="Times New Roman" panose="02020603050405020304" pitchFamily="18" charset="0"/>
              <a:ea typeface="Calibri" panose="020F0502020204030204" pitchFamily="34" charset="0"/>
              <a:cs typeface="Times New Roman" panose="02020603050405020304" pitchFamily="18" charset="0"/>
            </a:rPr>
            <a:t>г.</a:t>
          </a:r>
          <a:endParaRPr lang="ru-RU" sz="1200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Documents\tab\&#1060;&#1077;&#1074;&#1088;&#1072;&#1083;&#1100;-2026.xlsx" TargetMode="External"/><Relationship Id="rId1" Type="http://schemas.openxmlformats.org/officeDocument/2006/relationships/externalLinkPath" Target="&#1060;&#1077;&#1074;&#1088;&#1072;&#1083;&#1100;-2026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&#1052;&#1072;&#1088;&#1090;-2024%201&#1086;&#1090;&#1076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Справочник-не смотрим!"/>
      <sheetName val="ЗАЯВКА-не смотрим!"/>
      <sheetName val="Сводная ведомость"/>
      <sheetName val="1-П"/>
      <sheetName val="1-С"/>
      <sheetName val="2-П"/>
      <sheetName val="2-С"/>
      <sheetName val="2-СД"/>
      <sheetName val="3-П"/>
      <sheetName val="3-С"/>
      <sheetName val="3-СД"/>
      <sheetName val="СРО-П"/>
      <sheetName val="СРО-С"/>
      <sheetName val="СРО-СД"/>
      <sheetName val="ОМ-ЩП"/>
      <sheetName val="ОМ-П"/>
      <sheetName val="ОМ-С"/>
      <sheetName val="ОМ-СД"/>
      <sheetName val="ППБ-П"/>
      <sheetName val="Общий список проверка на повтор"/>
      <sheetName val="ППБ-С"/>
    </sheetNames>
    <sheetDataSet>
      <sheetData sheetId="0">
        <row r="1">
          <cell r="B1" t="str">
            <v>февраль</v>
          </cell>
        </row>
        <row r="2">
          <cell r="B2">
            <v>2026</v>
          </cell>
        </row>
      </sheetData>
      <sheetData sheetId="1"/>
      <sheetData sheetId="2">
        <row r="16">
          <cell r="D16" t="str">
            <v>Вода питьевая негазир. (5 л.)</v>
          </cell>
          <cell r="E16" t="str">
            <v>Туалетная бумага "Набережные Челны" (рул.)</v>
          </cell>
          <cell r="F16" t="str">
            <v>Чай черный ГОСТ (100 гр.)</v>
          </cell>
          <cell r="G16" t="str">
            <v>Чай черный пакетированный (25 пак.)</v>
          </cell>
          <cell r="H16" t="str">
            <v xml:space="preserve">Станки для бритья "Джилет Blue II Maximum" однораз. </v>
          </cell>
          <cell r="I16" t="str">
            <v>Говядина тушеная ж/б (325 гр. ключ)</v>
          </cell>
          <cell r="J16" t="str">
            <v>Колбаса вареная "Докторская" ГОСТ (400 гр.)</v>
          </cell>
          <cell r="K16" t="str">
            <v>Зефир Беково (белый, розовый, 250 гр.)</v>
          </cell>
          <cell r="L16" t="str">
            <v>Ветчина в ассртименте ж/б (325 гр. ключ)</v>
          </cell>
          <cell r="M16" t="str">
            <v>Сыр в ассортименте (200 гр.)</v>
          </cell>
          <cell r="N16" t="str">
            <v xml:space="preserve">Вафли в ассортименте (200 гр.) </v>
          </cell>
          <cell r="O16" t="str">
            <v>Кофе растворимый черный в мягкой упаковке Monarch (150 г)</v>
          </cell>
          <cell r="P16" t="str">
            <v>Джем Махеевъ дой-пак 300 г в ассортименте</v>
          </cell>
          <cell r="Q16" t="str">
            <v>Колбаса в/к ГОСТ (400 гр.)</v>
          </cell>
          <cell r="R16" t="str">
            <v>Шпроты в масле ж/б (160 гр., ключ)</v>
          </cell>
          <cell r="S16" t="str">
            <v>Прияники с начинкой "Яшкино" 250 гр.</v>
          </cell>
          <cell r="T16" t="str">
            <v>Мини - рулеты (175 гр.)</v>
          </cell>
          <cell r="U16" t="str">
            <v>Мыло хозяйственное 72%  (200 гр.)</v>
          </cell>
          <cell r="V16" t="str">
            <v>Конфеты шоколадные фасованные в ассортименте (250 гр.)</v>
          </cell>
          <cell r="W16" t="str">
            <v>Печенье сахарное фасованное (200гр.)</v>
          </cell>
          <cell r="X16" t="str">
            <v>Консервы рыбные в ассортименте ж/б (230 гр., ключ)</v>
          </cell>
          <cell r="Y16" t="str">
            <v>Освежитель воздуха (200 мл.)</v>
          </cell>
          <cell r="Z16" t="str">
            <v>Жидкое мыло (200 мл.)</v>
          </cell>
          <cell r="AA16" t="str">
            <v>Лукум Беково (250 гр.)</v>
          </cell>
          <cell r="AB16" t="str">
            <v>Мармелад диабетический на фруктозе (200гр.)</v>
          </cell>
          <cell r="AC16" t="str">
            <v>Конфеты диабетические (200 гр.)</v>
          </cell>
          <cell r="AD16" t="str">
            <v>Паштет "Знаток" ж/б (250 гр., ключ)</v>
          </cell>
          <cell r="AE16" t="str">
            <v>Печенье диабетическое "Мария" (250гр.)</v>
          </cell>
          <cell r="AF16" t="str">
            <v>Крекер соленый (180 гр.)</v>
          </cell>
          <cell r="AG16" t="str">
            <v>Печенье детское Бонди Бегемотик (180 гр.)</v>
          </cell>
          <cell r="AH16" t="str">
            <v>Килька Балтийская в томтном соусе 240 г ключ</v>
          </cell>
          <cell r="AI16" t="str">
            <v>Паштет HAME из гусиной печени (105 гр.)</v>
          </cell>
          <cell r="AJ16" t="str">
            <v>Паштет HAME с мясом птицы (105 гр.)</v>
          </cell>
          <cell r="AK16" t="str">
            <v>Паштет HAME с мясом индейки (105 гр.)</v>
          </cell>
          <cell r="AL16" t="str">
            <v>Мини - кексы (250 гр.)</v>
          </cell>
          <cell r="AM16" t="str">
            <v>Сыр плавленный "Вкуснотеево" (ванночка, 200 гр.)</v>
          </cell>
          <cell r="AN16" t="str">
            <v>Зефир в шоколаде Беково (250 гр.)</v>
          </cell>
          <cell r="AO16" t="str">
            <v>Сахар рафинад (500 гр.)</v>
          </cell>
          <cell r="AP16" t="str">
            <v>Сок в ассортименте (1 л.)</v>
          </cell>
          <cell r="AQ16" t="str">
            <v>Пена для бритья "АРКО" (200мл)</v>
          </cell>
          <cell r="AR16" t="str">
            <v>Сигареты с фильтром в пачке (20 сигарет)</v>
          </cell>
          <cell r="AS16" t="str">
            <v>Туалетная вода, 200 мл</v>
          </cell>
          <cell r="AT16" t="str">
            <v>Зажигалка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Справочник-не смотрим!"/>
      <sheetName val="ЗАЯВКА-не смотрим!"/>
      <sheetName val="Сводная ведомость"/>
      <sheetName val="1-П"/>
      <sheetName val="1-С"/>
      <sheetName val="2-П"/>
      <sheetName val="2-С"/>
      <sheetName val="2-СД"/>
      <sheetName val="3-П"/>
      <sheetName val="3-С"/>
      <sheetName val="3-СД"/>
      <sheetName val="СРО-П"/>
      <sheetName val="СРО-С"/>
      <sheetName val="СРО-СД"/>
      <sheetName val="ОМ-ЩП"/>
      <sheetName val="ОМ-П"/>
      <sheetName val="ОМ-С"/>
      <sheetName val="ОМ-СД"/>
      <sheetName val="ППБ-П"/>
      <sheetName val="ППБ-С"/>
    </sheetNames>
    <sheetDataSet>
      <sheetData sheetId="0" refreshError="1"/>
      <sheetData sheetId="1" refreshError="1">
        <row r="4">
          <cell r="B4" t="str">
            <v>Вода питьевая негазир. (5 л.)</v>
          </cell>
          <cell r="C4" t="str">
            <v>бут.</v>
          </cell>
        </row>
        <row r="5">
          <cell r="C5" t="str">
            <v>шт.</v>
          </cell>
        </row>
        <row r="6">
          <cell r="C6" t="str">
            <v>упак.</v>
          </cell>
        </row>
        <row r="7">
          <cell r="C7" t="str">
            <v>упак.</v>
          </cell>
        </row>
        <row r="8">
          <cell r="C8" t="str">
            <v>шт.</v>
          </cell>
        </row>
        <row r="9">
          <cell r="C9" t="str">
            <v>шт.</v>
          </cell>
        </row>
        <row r="10">
          <cell r="C10" t="str">
            <v>шт.</v>
          </cell>
        </row>
        <row r="11">
          <cell r="C11" t="str">
            <v>упак.</v>
          </cell>
        </row>
        <row r="12">
          <cell r="C12" t="str">
            <v>шт.</v>
          </cell>
        </row>
        <row r="13">
          <cell r="C13" t="str">
            <v>шт.</v>
          </cell>
        </row>
        <row r="14">
          <cell r="C14" t="str">
            <v>упак.</v>
          </cell>
        </row>
        <row r="15">
          <cell r="C15" t="str">
            <v>шт.</v>
          </cell>
        </row>
        <row r="16">
          <cell r="C16" t="str">
            <v>шт.</v>
          </cell>
        </row>
        <row r="17">
          <cell r="C17" t="str">
            <v>шт.</v>
          </cell>
        </row>
        <row r="18">
          <cell r="C18" t="str">
            <v>шт.</v>
          </cell>
        </row>
        <row r="19">
          <cell r="C19" t="str">
            <v>упак.</v>
          </cell>
        </row>
        <row r="20">
          <cell r="C20" t="str">
            <v>упак.</v>
          </cell>
        </row>
        <row r="21">
          <cell r="C21" t="str">
            <v>шт.</v>
          </cell>
        </row>
        <row r="22">
          <cell r="C22" t="str">
            <v>упак.</v>
          </cell>
        </row>
        <row r="23">
          <cell r="C23" t="str">
            <v>упак.</v>
          </cell>
        </row>
        <row r="24">
          <cell r="C24" t="str">
            <v>шт.</v>
          </cell>
        </row>
        <row r="25">
          <cell r="C25" t="str">
            <v>шт.</v>
          </cell>
        </row>
        <row r="26">
          <cell r="C26" t="str">
            <v>шт.</v>
          </cell>
        </row>
        <row r="27">
          <cell r="C27" t="str">
            <v>упак.</v>
          </cell>
        </row>
        <row r="28">
          <cell r="C28" t="str">
            <v>упак.</v>
          </cell>
        </row>
        <row r="29">
          <cell r="C29" t="str">
            <v>упак.</v>
          </cell>
        </row>
        <row r="30">
          <cell r="C30" t="str">
            <v>шт.</v>
          </cell>
        </row>
        <row r="31">
          <cell r="C31" t="str">
            <v>упак.</v>
          </cell>
        </row>
        <row r="32">
          <cell r="C32" t="str">
            <v>упак.</v>
          </cell>
        </row>
        <row r="33">
          <cell r="C33" t="str">
            <v>упак.</v>
          </cell>
        </row>
        <row r="34">
          <cell r="C34" t="str">
            <v>шт.</v>
          </cell>
        </row>
        <row r="35">
          <cell r="C35" t="str">
            <v>шт.</v>
          </cell>
        </row>
        <row r="36">
          <cell r="C36" t="str">
            <v>шт.</v>
          </cell>
        </row>
        <row r="37">
          <cell r="C37" t="str">
            <v>шт.</v>
          </cell>
        </row>
        <row r="38">
          <cell r="C38" t="str">
            <v>упак.</v>
          </cell>
        </row>
        <row r="39">
          <cell r="C39" t="str">
            <v>шт.</v>
          </cell>
        </row>
        <row r="40">
          <cell r="C40" t="str">
            <v>упак.</v>
          </cell>
        </row>
        <row r="41">
          <cell r="C41" t="str">
            <v>упак.</v>
          </cell>
        </row>
        <row r="42">
          <cell r="C42" t="str">
            <v>шт.</v>
          </cell>
        </row>
        <row r="43">
          <cell r="C43" t="str">
            <v>шт.</v>
          </cell>
        </row>
        <row r="44">
          <cell r="C44" t="str">
            <v>пач.</v>
          </cell>
        </row>
        <row r="45">
          <cell r="C45" t="str">
            <v>шт.</v>
          </cell>
        </row>
        <row r="46">
          <cell r="C46" t="str">
            <v>шт.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9F8F40-8712-4BB2-96FC-623755168A12}">
  <dimension ref="A4:AS57"/>
  <sheetViews>
    <sheetView tabSelected="1" zoomScale="40" zoomScaleNormal="40" workbookViewId="0">
      <selection activeCell="A7" sqref="A7:AS7"/>
    </sheetView>
  </sheetViews>
  <sheetFormatPr defaultRowHeight="15" x14ac:dyDescent="0.25"/>
  <cols>
    <col min="1" max="1" width="5.28515625" customWidth="1"/>
    <col min="2" max="2" width="38.28515625" customWidth="1"/>
    <col min="3" max="45" width="7.7109375" style="1" customWidth="1"/>
  </cols>
  <sheetData>
    <row r="4" spans="1:45" ht="60" customHeight="1" x14ac:dyDescent="0.25"/>
    <row r="5" spans="1:45" ht="19.5" customHeight="1" x14ac:dyDescent="0.25"/>
    <row r="6" spans="1:45" ht="18.75" x14ac:dyDescent="0.25">
      <c r="A6" s="2" t="s">
        <v>0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</row>
    <row r="7" spans="1:45" ht="18.75" x14ac:dyDescent="0.25">
      <c r="A7" s="2" t="s">
        <v>1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</row>
    <row r="8" spans="1:45" ht="18.75" x14ac:dyDescent="0.25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 t="s">
        <v>2</v>
      </c>
      <c r="S8" s="2" t="str">
        <f>'[1]Справочник-не смотрим!'!B1</f>
        <v>февраль</v>
      </c>
      <c r="T8" s="2"/>
      <c r="U8" s="2">
        <f>'[1]Справочник-не смотрим!'!B2</f>
        <v>2026</v>
      </c>
      <c r="V8" s="2"/>
      <c r="W8" s="3" t="s">
        <v>3</v>
      </c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</row>
    <row r="10" spans="1:45" ht="31.15" customHeight="1" x14ac:dyDescent="0.25">
      <c r="A10" s="4" t="s">
        <v>4</v>
      </c>
      <c r="B10" s="5" t="s">
        <v>5</v>
      </c>
      <c r="C10" s="6" t="s">
        <v>6</v>
      </c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</row>
    <row r="11" spans="1:45" ht="294.75" customHeight="1" x14ac:dyDescent="0.25">
      <c r="A11" s="7"/>
      <c r="B11" s="5"/>
      <c r="C11" s="8" t="str">
        <f>'[1]Сводная ведомость'!D16</f>
        <v>Вода питьевая негазир. (5 л.)</v>
      </c>
      <c r="D11" s="9" t="str">
        <f>'[1]Сводная ведомость'!E16</f>
        <v>Туалетная бумага "Набережные Челны" (рул.)</v>
      </c>
      <c r="E11" s="9" t="str">
        <f>'[1]Сводная ведомость'!F16</f>
        <v>Чай черный ГОСТ (100 гр.)</v>
      </c>
      <c r="F11" s="9" t="str">
        <f>'[1]Сводная ведомость'!G16</f>
        <v>Чай черный пакетированный (25 пак.)</v>
      </c>
      <c r="G11" s="9" t="str">
        <f>'[1]Сводная ведомость'!H16</f>
        <v xml:space="preserve">Станки для бритья "Джилет Blue II Maximum" однораз. </v>
      </c>
      <c r="H11" s="9" t="str">
        <f>'[1]Сводная ведомость'!I16</f>
        <v>Говядина тушеная ж/б (325 гр. ключ)</v>
      </c>
      <c r="I11" s="9" t="str">
        <f>'[1]Сводная ведомость'!J16</f>
        <v>Колбаса вареная "Докторская" ГОСТ (400 гр.)</v>
      </c>
      <c r="J11" s="9" t="str">
        <f>'[1]Сводная ведомость'!K16</f>
        <v>Зефир Беково (белый, розовый, 250 гр.)</v>
      </c>
      <c r="K11" s="9" t="str">
        <f>'[1]Сводная ведомость'!L16</f>
        <v>Ветчина в ассртименте ж/б (325 гр. ключ)</v>
      </c>
      <c r="L11" s="9" t="str">
        <f>'[1]Сводная ведомость'!M16</f>
        <v>Сыр в ассортименте (200 гр.)</v>
      </c>
      <c r="M11" s="9" t="str">
        <f>'[1]Сводная ведомость'!N16</f>
        <v xml:space="preserve">Вафли в ассортименте (200 гр.) </v>
      </c>
      <c r="N11" s="9" t="str">
        <f>'[1]Сводная ведомость'!O16</f>
        <v>Кофе растворимый черный в мягкой упаковке Monarch (150 г)</v>
      </c>
      <c r="O11" s="9" t="str">
        <f>'[1]Сводная ведомость'!P16</f>
        <v>Джем Махеевъ дой-пак 300 г в ассортименте</v>
      </c>
      <c r="P11" s="9" t="str">
        <f>'[1]Сводная ведомость'!Q16</f>
        <v>Колбаса в/к ГОСТ (400 гр.)</v>
      </c>
      <c r="Q11" s="9" t="str">
        <f>'[1]Сводная ведомость'!R16</f>
        <v>Шпроты в масле ж/б (160 гр., ключ)</v>
      </c>
      <c r="R11" s="9" t="str">
        <f>'[1]Сводная ведомость'!S16</f>
        <v>Прияники с начинкой "Яшкино" 250 гр.</v>
      </c>
      <c r="S11" s="10" t="str">
        <f>'[1]Сводная ведомость'!T16</f>
        <v>Мини - рулеты (175 гр.)</v>
      </c>
      <c r="T11" s="9" t="str">
        <f>'[1]Сводная ведомость'!U16</f>
        <v>Мыло хозяйственное 72%  (200 гр.)</v>
      </c>
      <c r="U11" s="9" t="str">
        <f>'[1]Сводная ведомость'!V16</f>
        <v>Конфеты шоколадные фасованные в ассортименте (250 гр.)</v>
      </c>
      <c r="V11" s="9" t="str">
        <f>'[1]Сводная ведомость'!W16</f>
        <v>Печенье сахарное фасованное (200гр.)</v>
      </c>
      <c r="W11" s="9" t="str">
        <f>'[1]Сводная ведомость'!X16</f>
        <v>Консервы рыбные в ассортименте ж/б (230 гр., ключ)</v>
      </c>
      <c r="X11" s="10" t="str">
        <f>'[1]Сводная ведомость'!Y16</f>
        <v>Освежитель воздуха (200 мл.)</v>
      </c>
      <c r="Y11" s="9" t="str">
        <f>'[1]Сводная ведомость'!Z16</f>
        <v>Жидкое мыло (200 мл.)</v>
      </c>
      <c r="Z11" s="9" t="str">
        <f>'[1]Сводная ведомость'!AA16</f>
        <v>Лукум Беково (250 гр.)</v>
      </c>
      <c r="AA11" s="9" t="str">
        <f>'[1]Сводная ведомость'!AB16</f>
        <v>Мармелад диабетический на фруктозе (200гр.)</v>
      </c>
      <c r="AB11" s="9" t="str">
        <f>'[1]Сводная ведомость'!AC16</f>
        <v>Конфеты диабетические (200 гр.)</v>
      </c>
      <c r="AC11" s="9" t="str">
        <f>'[1]Сводная ведомость'!AD16</f>
        <v>Паштет "Знаток" ж/б (250 гр., ключ)</v>
      </c>
      <c r="AD11" s="9" t="str">
        <f>'[1]Сводная ведомость'!AE16</f>
        <v>Печенье диабетическое "Мария" (250гр.)</v>
      </c>
      <c r="AE11" s="9" t="str">
        <f>'[1]Сводная ведомость'!AF16</f>
        <v>Крекер соленый (180 гр.)</v>
      </c>
      <c r="AF11" s="9" t="str">
        <f>'[1]Сводная ведомость'!AG16</f>
        <v>Печенье детское Бонди Бегемотик (180 гр.)</v>
      </c>
      <c r="AG11" s="9" t="str">
        <f>'[1]Сводная ведомость'!AH16</f>
        <v>Килька Балтийская в томтном соусе 240 г ключ</v>
      </c>
      <c r="AH11" s="9" t="str">
        <f>'[1]Сводная ведомость'!AI16</f>
        <v>Паштет HAME из гусиной печени (105 гр.)</v>
      </c>
      <c r="AI11" s="9" t="str">
        <f>'[1]Сводная ведомость'!AJ16</f>
        <v>Паштет HAME с мясом птицы (105 гр.)</v>
      </c>
      <c r="AJ11" s="9" t="str">
        <f>'[1]Сводная ведомость'!AK16</f>
        <v>Паштет HAME с мясом индейки (105 гр.)</v>
      </c>
      <c r="AK11" s="9" t="str">
        <f>'[1]Сводная ведомость'!AL16</f>
        <v>Мини - кексы (250 гр.)</v>
      </c>
      <c r="AL11" s="9" t="str">
        <f>'[1]Сводная ведомость'!AM16</f>
        <v>Сыр плавленный "Вкуснотеево" (ванночка, 200 гр.)</v>
      </c>
      <c r="AM11" s="9" t="str">
        <f>'[1]Сводная ведомость'!AN16</f>
        <v>Зефир в шоколаде Беково (250 гр.)</v>
      </c>
      <c r="AN11" s="9" t="str">
        <f>'[1]Сводная ведомость'!AO16</f>
        <v>Сахар рафинад (500 гр.)</v>
      </c>
      <c r="AO11" s="9" t="str">
        <f>'[1]Сводная ведомость'!AP16</f>
        <v>Сок в ассортименте (1 л.)</v>
      </c>
      <c r="AP11" s="9" t="str">
        <f>'[1]Сводная ведомость'!AQ16</f>
        <v>Пена для бритья "АРКО" (200мл)</v>
      </c>
      <c r="AQ11" s="9" t="str">
        <f>'[1]Сводная ведомость'!AR16</f>
        <v>Сигареты с фильтром в пачке (20 сигарет)</v>
      </c>
      <c r="AR11" s="9" t="str">
        <f>'[1]Сводная ведомость'!AS16</f>
        <v>Туалетная вода, 200 мл</v>
      </c>
      <c r="AS11" s="9" t="str">
        <f>'[1]Сводная ведомость'!AT16</f>
        <v>Зажигалка</v>
      </c>
    </row>
    <row r="12" spans="1:45" ht="15.75" x14ac:dyDescent="0.25">
      <c r="A12" s="11"/>
      <c r="B12" s="12"/>
      <c r="C12" s="13" t="str">
        <f>'[2]ЗАЯВКА-не смотрим!'!C4</f>
        <v>бут.</v>
      </c>
      <c r="D12" s="14" t="str">
        <f>'[2]ЗАЯВКА-не смотрим!'!C5</f>
        <v>шт.</v>
      </c>
      <c r="E12" s="14" t="str">
        <f>'[2]ЗАЯВКА-не смотрим!'!C6</f>
        <v>упак.</v>
      </c>
      <c r="F12" s="14" t="str">
        <f>'[2]ЗАЯВКА-не смотрим!'!C7</f>
        <v>упак.</v>
      </c>
      <c r="G12" s="14" t="str">
        <f>'[2]ЗАЯВКА-не смотрим!'!C8</f>
        <v>шт.</v>
      </c>
      <c r="H12" s="14" t="str">
        <f>'[2]ЗАЯВКА-не смотрим!'!C9</f>
        <v>шт.</v>
      </c>
      <c r="I12" s="14" t="str">
        <f>'[2]ЗАЯВКА-не смотрим!'!C10</f>
        <v>шт.</v>
      </c>
      <c r="J12" s="14" t="str">
        <f>'[2]ЗАЯВКА-не смотрим!'!C11</f>
        <v>упак.</v>
      </c>
      <c r="K12" s="14" t="str">
        <f>'[2]ЗАЯВКА-не смотрим!'!C12</f>
        <v>шт.</v>
      </c>
      <c r="L12" s="14" t="str">
        <f>'[2]ЗАЯВКА-не смотрим!'!C13</f>
        <v>шт.</v>
      </c>
      <c r="M12" s="14" t="str">
        <f>'[2]ЗАЯВКА-не смотрим!'!C14</f>
        <v>упак.</v>
      </c>
      <c r="N12" s="14" t="str">
        <f>'[2]ЗАЯВКА-не смотрим!'!C15</f>
        <v>шт.</v>
      </c>
      <c r="O12" s="14" t="str">
        <f>'[2]ЗАЯВКА-не смотрим!'!C16</f>
        <v>шт.</v>
      </c>
      <c r="P12" s="14" t="str">
        <f>'[2]ЗАЯВКА-не смотрим!'!C17</f>
        <v>шт.</v>
      </c>
      <c r="Q12" s="14" t="str">
        <f>'[2]ЗАЯВКА-не смотрим!'!C18</f>
        <v>шт.</v>
      </c>
      <c r="R12" s="14" t="str">
        <f>'[2]ЗАЯВКА-не смотрим!'!C19</f>
        <v>упак.</v>
      </c>
      <c r="S12" s="14" t="str">
        <f>'[2]ЗАЯВКА-не смотрим!'!C20</f>
        <v>упак.</v>
      </c>
      <c r="T12" s="14" t="str">
        <f>'[2]ЗАЯВКА-не смотрим!'!C21</f>
        <v>шт.</v>
      </c>
      <c r="U12" s="14" t="str">
        <f>'[2]ЗАЯВКА-не смотрим!'!C22</f>
        <v>упак.</v>
      </c>
      <c r="V12" s="14" t="str">
        <f>'[2]ЗАЯВКА-не смотрим!'!C23</f>
        <v>упак.</v>
      </c>
      <c r="W12" s="14" t="str">
        <f>'[2]ЗАЯВКА-не смотрим!'!C24</f>
        <v>шт.</v>
      </c>
      <c r="X12" s="14" t="str">
        <f>'[2]ЗАЯВКА-не смотрим!'!C25</f>
        <v>шт.</v>
      </c>
      <c r="Y12" s="14" t="str">
        <f>'[2]ЗАЯВКА-не смотрим!'!C26</f>
        <v>шт.</v>
      </c>
      <c r="Z12" s="14" t="str">
        <f>'[2]ЗАЯВКА-не смотрим!'!C27</f>
        <v>упак.</v>
      </c>
      <c r="AA12" s="14" t="str">
        <f>'[2]ЗАЯВКА-не смотрим!'!C28</f>
        <v>упак.</v>
      </c>
      <c r="AB12" s="14" t="str">
        <f>'[2]ЗАЯВКА-не смотрим!'!C29</f>
        <v>упак.</v>
      </c>
      <c r="AC12" s="14" t="str">
        <f>'[2]ЗАЯВКА-не смотрим!'!C30</f>
        <v>шт.</v>
      </c>
      <c r="AD12" s="14" t="str">
        <f>'[2]ЗАЯВКА-не смотрим!'!C31</f>
        <v>упак.</v>
      </c>
      <c r="AE12" s="14" t="str">
        <f>'[2]ЗАЯВКА-не смотрим!'!C32</f>
        <v>упак.</v>
      </c>
      <c r="AF12" s="14" t="str">
        <f>'[2]ЗАЯВКА-не смотрим!'!C33</f>
        <v>упак.</v>
      </c>
      <c r="AG12" s="14" t="str">
        <f>'[2]ЗАЯВКА-не смотрим!'!C34</f>
        <v>шт.</v>
      </c>
      <c r="AH12" s="14" t="str">
        <f>'[2]ЗАЯВКА-не смотрим!'!C35</f>
        <v>шт.</v>
      </c>
      <c r="AI12" s="14" t="str">
        <f>'[2]ЗАЯВКА-не смотрим!'!C36</f>
        <v>шт.</v>
      </c>
      <c r="AJ12" s="14" t="str">
        <f>'[2]ЗАЯВКА-не смотрим!'!C37</f>
        <v>шт.</v>
      </c>
      <c r="AK12" s="14" t="str">
        <f>'[2]ЗАЯВКА-не смотрим!'!C38</f>
        <v>упак.</v>
      </c>
      <c r="AL12" s="14" t="str">
        <f>'[2]ЗАЯВКА-не смотрим!'!C39</f>
        <v>шт.</v>
      </c>
      <c r="AM12" s="14" t="str">
        <f>'[2]ЗАЯВКА-не смотрим!'!C40</f>
        <v>упак.</v>
      </c>
      <c r="AN12" s="14" t="str">
        <f>'[2]ЗАЯВКА-не смотрим!'!C41</f>
        <v>упак.</v>
      </c>
      <c r="AO12" s="14" t="str">
        <f>'[2]ЗАЯВКА-не смотрим!'!C42</f>
        <v>шт.</v>
      </c>
      <c r="AP12" s="14" t="str">
        <f>'[2]ЗАЯВКА-не смотрим!'!C43</f>
        <v>шт.</v>
      </c>
      <c r="AQ12" s="14" t="str">
        <f>'[2]ЗАЯВКА-не смотрим!'!C44</f>
        <v>пач.</v>
      </c>
      <c r="AR12" s="14" t="str">
        <f>'[2]ЗАЯВКА-не смотрим!'!C45</f>
        <v>шт.</v>
      </c>
      <c r="AS12" s="14" t="str">
        <f>'[2]ЗАЯВКА-не смотрим!'!C46</f>
        <v>шт.</v>
      </c>
    </row>
    <row r="13" spans="1:45" ht="15.75" x14ac:dyDescent="0.25">
      <c r="A13" s="15">
        <v>1</v>
      </c>
      <c r="B13" s="16" t="s">
        <v>7</v>
      </c>
      <c r="C13" s="17">
        <v>2</v>
      </c>
      <c r="D13" s="18">
        <v>1</v>
      </c>
      <c r="E13" s="18">
        <v>1</v>
      </c>
      <c r="F13" s="18"/>
      <c r="G13" s="18">
        <v>5</v>
      </c>
      <c r="H13" s="18">
        <v>1</v>
      </c>
      <c r="I13" s="18">
        <v>1</v>
      </c>
      <c r="J13" s="18"/>
      <c r="K13" s="18">
        <v>1</v>
      </c>
      <c r="L13" s="18">
        <v>1</v>
      </c>
      <c r="M13" s="18">
        <v>1</v>
      </c>
      <c r="N13" s="18"/>
      <c r="O13" s="18">
        <v>1</v>
      </c>
      <c r="P13" s="18">
        <v>1</v>
      </c>
      <c r="Q13" s="18"/>
      <c r="R13" s="18"/>
      <c r="S13" s="18">
        <v>1</v>
      </c>
      <c r="T13" s="18"/>
      <c r="U13" s="18">
        <v>1</v>
      </c>
      <c r="V13" s="19">
        <v>1</v>
      </c>
      <c r="W13" s="19"/>
      <c r="X13" s="19"/>
      <c r="Y13" s="19">
        <v>1</v>
      </c>
      <c r="Z13" s="19"/>
      <c r="AA13" s="19"/>
      <c r="AB13" s="19"/>
      <c r="AC13" s="19">
        <v>1</v>
      </c>
      <c r="AD13" s="19"/>
      <c r="AE13" s="19"/>
      <c r="AF13" s="19"/>
      <c r="AG13" s="19"/>
      <c r="AH13" s="19"/>
      <c r="AI13" s="19"/>
      <c r="AJ13" s="19"/>
      <c r="AK13" s="19"/>
      <c r="AL13" s="19"/>
      <c r="AM13" s="19"/>
      <c r="AN13" s="19">
        <v>1</v>
      </c>
      <c r="AO13" s="19"/>
      <c r="AP13" s="19"/>
      <c r="AQ13" s="19"/>
      <c r="AR13" s="19"/>
      <c r="AS13" s="19"/>
    </row>
    <row r="14" spans="1:45" ht="15.75" x14ac:dyDescent="0.25">
      <c r="A14" s="15">
        <v>2</v>
      </c>
      <c r="B14" s="16" t="s">
        <v>8</v>
      </c>
      <c r="C14" s="17">
        <v>2</v>
      </c>
      <c r="D14" s="18">
        <v>1</v>
      </c>
      <c r="E14" s="18">
        <v>1</v>
      </c>
      <c r="F14" s="18"/>
      <c r="G14" s="18">
        <v>5</v>
      </c>
      <c r="H14" s="18">
        <v>1</v>
      </c>
      <c r="I14" s="18">
        <v>1</v>
      </c>
      <c r="J14" s="18"/>
      <c r="K14" s="18">
        <v>1</v>
      </c>
      <c r="L14" s="18">
        <v>1</v>
      </c>
      <c r="M14" s="18">
        <v>1</v>
      </c>
      <c r="N14" s="18"/>
      <c r="O14" s="18">
        <v>1</v>
      </c>
      <c r="P14" s="18">
        <v>1</v>
      </c>
      <c r="Q14" s="18"/>
      <c r="R14" s="18"/>
      <c r="S14" s="18">
        <v>1</v>
      </c>
      <c r="T14" s="18"/>
      <c r="U14" s="18">
        <v>1</v>
      </c>
      <c r="V14" s="19">
        <v>1</v>
      </c>
      <c r="W14" s="19"/>
      <c r="X14" s="19"/>
      <c r="Y14" s="19">
        <v>1</v>
      </c>
      <c r="Z14" s="19"/>
      <c r="AA14" s="19"/>
      <c r="AB14" s="19"/>
      <c r="AC14" s="19">
        <v>1</v>
      </c>
      <c r="AD14" s="19"/>
      <c r="AE14" s="19"/>
      <c r="AF14" s="19"/>
      <c r="AG14" s="19"/>
      <c r="AH14" s="19"/>
      <c r="AI14" s="19"/>
      <c r="AJ14" s="19"/>
      <c r="AK14" s="19"/>
      <c r="AL14" s="19"/>
      <c r="AM14" s="19"/>
      <c r="AN14" s="19">
        <v>1</v>
      </c>
      <c r="AO14" s="19"/>
      <c r="AP14" s="19"/>
      <c r="AQ14" s="19">
        <v>20</v>
      </c>
      <c r="AR14" s="19"/>
      <c r="AS14" s="19"/>
    </row>
    <row r="15" spans="1:45" ht="15.75" x14ac:dyDescent="0.25">
      <c r="A15" s="15">
        <v>3</v>
      </c>
      <c r="B15" s="16" t="s">
        <v>9</v>
      </c>
      <c r="C15" s="17">
        <v>2</v>
      </c>
      <c r="D15" s="18">
        <v>1</v>
      </c>
      <c r="E15" s="18">
        <v>1</v>
      </c>
      <c r="F15" s="18"/>
      <c r="G15" s="18">
        <v>5</v>
      </c>
      <c r="H15" s="18">
        <v>1</v>
      </c>
      <c r="I15" s="18">
        <v>1</v>
      </c>
      <c r="J15" s="18"/>
      <c r="K15" s="18">
        <v>1</v>
      </c>
      <c r="L15" s="18">
        <v>1</v>
      </c>
      <c r="M15" s="18">
        <v>1</v>
      </c>
      <c r="N15" s="18"/>
      <c r="O15" s="18">
        <v>1</v>
      </c>
      <c r="P15" s="18">
        <v>1</v>
      </c>
      <c r="Q15" s="18"/>
      <c r="R15" s="18"/>
      <c r="S15" s="18">
        <v>1</v>
      </c>
      <c r="T15" s="18"/>
      <c r="U15" s="18">
        <v>1</v>
      </c>
      <c r="V15" s="19">
        <v>1</v>
      </c>
      <c r="W15" s="19"/>
      <c r="X15" s="19"/>
      <c r="Y15" s="19">
        <v>1</v>
      </c>
      <c r="Z15" s="19"/>
      <c r="AA15" s="19"/>
      <c r="AB15" s="19"/>
      <c r="AC15" s="19">
        <v>1</v>
      </c>
      <c r="AD15" s="19"/>
      <c r="AE15" s="19"/>
      <c r="AF15" s="19"/>
      <c r="AG15" s="19"/>
      <c r="AH15" s="19"/>
      <c r="AI15" s="19"/>
      <c r="AJ15" s="19"/>
      <c r="AK15" s="19"/>
      <c r="AL15" s="19"/>
      <c r="AM15" s="19"/>
      <c r="AN15" s="19">
        <v>1</v>
      </c>
      <c r="AO15" s="19"/>
      <c r="AP15" s="19"/>
      <c r="AQ15" s="19"/>
      <c r="AR15" s="19"/>
      <c r="AS15" s="19"/>
    </row>
    <row r="16" spans="1:45" ht="15.75" x14ac:dyDescent="0.25">
      <c r="A16" s="15">
        <v>4</v>
      </c>
      <c r="B16" s="16" t="s">
        <v>10</v>
      </c>
      <c r="C16" s="17">
        <v>2</v>
      </c>
      <c r="D16" s="18">
        <v>1</v>
      </c>
      <c r="E16" s="18">
        <v>1</v>
      </c>
      <c r="F16" s="18"/>
      <c r="G16" s="18">
        <v>5</v>
      </c>
      <c r="H16" s="18">
        <v>1</v>
      </c>
      <c r="I16" s="18">
        <v>1</v>
      </c>
      <c r="J16" s="18"/>
      <c r="K16" s="18">
        <v>1</v>
      </c>
      <c r="L16" s="18">
        <v>1</v>
      </c>
      <c r="M16" s="18">
        <v>1</v>
      </c>
      <c r="N16" s="18"/>
      <c r="O16" s="18">
        <v>1</v>
      </c>
      <c r="P16" s="18">
        <v>1</v>
      </c>
      <c r="Q16" s="18"/>
      <c r="R16" s="18"/>
      <c r="S16" s="18">
        <v>1</v>
      </c>
      <c r="T16" s="18"/>
      <c r="U16" s="18">
        <v>1</v>
      </c>
      <c r="V16" s="19">
        <v>1</v>
      </c>
      <c r="W16" s="19"/>
      <c r="X16" s="19"/>
      <c r="Y16" s="19">
        <v>1</v>
      </c>
      <c r="Z16" s="19"/>
      <c r="AA16" s="19"/>
      <c r="AB16" s="19"/>
      <c r="AC16" s="19">
        <v>1</v>
      </c>
      <c r="AD16" s="19"/>
      <c r="AE16" s="19"/>
      <c r="AF16" s="19"/>
      <c r="AG16" s="19"/>
      <c r="AH16" s="19"/>
      <c r="AI16" s="19"/>
      <c r="AJ16" s="19"/>
      <c r="AK16" s="19"/>
      <c r="AL16" s="19"/>
      <c r="AM16" s="19"/>
      <c r="AN16" s="19">
        <v>1</v>
      </c>
      <c r="AO16" s="19"/>
      <c r="AP16" s="19"/>
      <c r="AQ16" s="19">
        <v>20</v>
      </c>
      <c r="AR16" s="19"/>
      <c r="AS16" s="19"/>
    </row>
    <row r="17" spans="1:45" ht="15.75" x14ac:dyDescent="0.25">
      <c r="A17" s="15">
        <v>5</v>
      </c>
      <c r="B17" s="20" t="s">
        <v>11</v>
      </c>
      <c r="C17" s="17">
        <v>2</v>
      </c>
      <c r="D17" s="18">
        <v>1</v>
      </c>
      <c r="E17" s="18">
        <v>1</v>
      </c>
      <c r="F17" s="18"/>
      <c r="G17" s="18">
        <v>5</v>
      </c>
      <c r="H17" s="18">
        <v>1</v>
      </c>
      <c r="I17" s="18">
        <v>1</v>
      </c>
      <c r="J17" s="18"/>
      <c r="K17" s="18">
        <v>1</v>
      </c>
      <c r="L17" s="18">
        <v>1</v>
      </c>
      <c r="M17" s="18">
        <v>1</v>
      </c>
      <c r="N17" s="18"/>
      <c r="O17" s="18">
        <v>1</v>
      </c>
      <c r="P17" s="18">
        <v>1</v>
      </c>
      <c r="Q17" s="18"/>
      <c r="R17" s="18"/>
      <c r="S17" s="18">
        <v>1</v>
      </c>
      <c r="T17" s="18"/>
      <c r="U17" s="18">
        <v>1</v>
      </c>
      <c r="V17" s="19">
        <v>1</v>
      </c>
      <c r="W17" s="19"/>
      <c r="X17" s="19"/>
      <c r="Y17" s="19">
        <v>1</v>
      </c>
      <c r="Z17" s="19"/>
      <c r="AA17" s="19"/>
      <c r="AB17" s="19"/>
      <c r="AC17" s="19">
        <v>1</v>
      </c>
      <c r="AD17" s="19"/>
      <c r="AE17" s="19"/>
      <c r="AF17" s="19"/>
      <c r="AG17" s="19"/>
      <c r="AH17" s="19"/>
      <c r="AI17" s="19"/>
      <c r="AJ17" s="19"/>
      <c r="AK17" s="19"/>
      <c r="AL17" s="19"/>
      <c r="AM17" s="19"/>
      <c r="AN17" s="19">
        <v>1</v>
      </c>
      <c r="AO17" s="19"/>
      <c r="AP17" s="19"/>
      <c r="AQ17" s="19"/>
      <c r="AR17" s="19"/>
      <c r="AS17" s="19"/>
    </row>
    <row r="18" spans="1:45" ht="15.75" x14ac:dyDescent="0.25">
      <c r="A18" s="15">
        <v>6</v>
      </c>
      <c r="B18" s="16" t="s">
        <v>12</v>
      </c>
      <c r="C18" s="17">
        <v>2</v>
      </c>
      <c r="D18" s="18">
        <v>1</v>
      </c>
      <c r="E18" s="18">
        <v>1</v>
      </c>
      <c r="F18" s="18"/>
      <c r="G18" s="18">
        <v>5</v>
      </c>
      <c r="H18" s="18">
        <v>1</v>
      </c>
      <c r="I18" s="18">
        <v>1</v>
      </c>
      <c r="J18" s="18"/>
      <c r="K18" s="18">
        <v>1</v>
      </c>
      <c r="L18" s="18">
        <v>1</v>
      </c>
      <c r="M18" s="18">
        <v>1</v>
      </c>
      <c r="N18" s="18"/>
      <c r="O18" s="18">
        <v>1</v>
      </c>
      <c r="P18" s="18">
        <v>1</v>
      </c>
      <c r="Q18" s="18"/>
      <c r="R18" s="18"/>
      <c r="S18" s="18">
        <v>1</v>
      </c>
      <c r="T18" s="18"/>
      <c r="U18" s="18">
        <v>1</v>
      </c>
      <c r="V18" s="19">
        <v>1</v>
      </c>
      <c r="W18" s="19"/>
      <c r="X18" s="19"/>
      <c r="Y18" s="19">
        <v>1</v>
      </c>
      <c r="Z18" s="19"/>
      <c r="AA18" s="19"/>
      <c r="AB18" s="19"/>
      <c r="AC18" s="19">
        <v>1</v>
      </c>
      <c r="AD18" s="19"/>
      <c r="AE18" s="19"/>
      <c r="AF18" s="19"/>
      <c r="AG18" s="19"/>
      <c r="AH18" s="19"/>
      <c r="AI18" s="19"/>
      <c r="AJ18" s="19"/>
      <c r="AK18" s="19"/>
      <c r="AL18" s="19"/>
      <c r="AM18" s="19"/>
      <c r="AN18" s="19">
        <v>1</v>
      </c>
      <c r="AO18" s="19"/>
      <c r="AP18" s="19"/>
      <c r="AQ18" s="19">
        <v>20</v>
      </c>
      <c r="AR18" s="19"/>
      <c r="AS18" s="19"/>
    </row>
    <row r="19" spans="1:45" ht="15.75" x14ac:dyDescent="0.25">
      <c r="A19" s="15">
        <v>7</v>
      </c>
      <c r="B19" s="16" t="s">
        <v>13</v>
      </c>
      <c r="C19" s="17">
        <v>2</v>
      </c>
      <c r="D19" s="18">
        <v>1</v>
      </c>
      <c r="E19" s="18">
        <v>1</v>
      </c>
      <c r="F19" s="18"/>
      <c r="G19" s="18">
        <v>5</v>
      </c>
      <c r="H19" s="18">
        <v>1</v>
      </c>
      <c r="I19" s="18">
        <v>1</v>
      </c>
      <c r="J19" s="18"/>
      <c r="K19" s="18">
        <v>1</v>
      </c>
      <c r="L19" s="18">
        <v>1</v>
      </c>
      <c r="M19" s="18">
        <v>1</v>
      </c>
      <c r="N19" s="18"/>
      <c r="O19" s="18">
        <v>1</v>
      </c>
      <c r="P19" s="18">
        <v>1</v>
      </c>
      <c r="Q19" s="18"/>
      <c r="R19" s="18"/>
      <c r="S19" s="18">
        <v>1</v>
      </c>
      <c r="T19" s="18"/>
      <c r="U19" s="18">
        <v>1</v>
      </c>
      <c r="V19" s="19">
        <v>1</v>
      </c>
      <c r="W19" s="19"/>
      <c r="X19" s="19"/>
      <c r="Y19" s="19">
        <v>1</v>
      </c>
      <c r="Z19" s="19"/>
      <c r="AA19" s="19"/>
      <c r="AB19" s="19"/>
      <c r="AC19" s="19">
        <v>1</v>
      </c>
      <c r="AD19" s="19"/>
      <c r="AE19" s="19"/>
      <c r="AF19" s="19"/>
      <c r="AG19" s="19"/>
      <c r="AH19" s="19"/>
      <c r="AI19" s="19"/>
      <c r="AJ19" s="19"/>
      <c r="AK19" s="19"/>
      <c r="AL19" s="19"/>
      <c r="AM19" s="19"/>
      <c r="AN19" s="19">
        <v>1</v>
      </c>
      <c r="AO19" s="19"/>
      <c r="AP19" s="19"/>
      <c r="AQ19" s="19">
        <v>20</v>
      </c>
      <c r="AR19" s="19"/>
      <c r="AS19" s="19"/>
    </row>
    <row r="20" spans="1:45" ht="15.75" x14ac:dyDescent="0.25">
      <c r="A20" s="15">
        <v>8</v>
      </c>
      <c r="B20" s="16" t="s">
        <v>14</v>
      </c>
      <c r="C20" s="17">
        <v>2</v>
      </c>
      <c r="D20" s="18">
        <v>1</v>
      </c>
      <c r="E20" s="18">
        <v>1</v>
      </c>
      <c r="F20" s="18"/>
      <c r="G20" s="18">
        <v>5</v>
      </c>
      <c r="H20" s="18">
        <v>1</v>
      </c>
      <c r="I20" s="18">
        <v>1</v>
      </c>
      <c r="J20" s="18"/>
      <c r="K20" s="18">
        <v>1</v>
      </c>
      <c r="L20" s="18">
        <v>1</v>
      </c>
      <c r="M20" s="18">
        <v>1</v>
      </c>
      <c r="N20" s="18"/>
      <c r="O20" s="18">
        <v>1</v>
      </c>
      <c r="P20" s="18">
        <v>1</v>
      </c>
      <c r="Q20" s="18"/>
      <c r="R20" s="18"/>
      <c r="S20" s="18">
        <v>1</v>
      </c>
      <c r="T20" s="18"/>
      <c r="U20" s="18">
        <v>1</v>
      </c>
      <c r="V20" s="19">
        <v>1</v>
      </c>
      <c r="W20" s="19"/>
      <c r="X20" s="19"/>
      <c r="Y20" s="19">
        <v>1</v>
      </c>
      <c r="Z20" s="19"/>
      <c r="AA20" s="19"/>
      <c r="AB20" s="19"/>
      <c r="AC20" s="19">
        <v>1</v>
      </c>
      <c r="AD20" s="19"/>
      <c r="AE20" s="19"/>
      <c r="AF20" s="19"/>
      <c r="AG20" s="19"/>
      <c r="AH20" s="19"/>
      <c r="AI20" s="19"/>
      <c r="AJ20" s="19"/>
      <c r="AK20" s="19"/>
      <c r="AL20" s="19"/>
      <c r="AM20" s="19"/>
      <c r="AN20" s="19">
        <v>1</v>
      </c>
      <c r="AO20" s="19"/>
      <c r="AP20" s="19"/>
      <c r="AQ20" s="19"/>
      <c r="AR20" s="19"/>
      <c r="AS20" s="19"/>
    </row>
    <row r="21" spans="1:45" ht="15.75" x14ac:dyDescent="0.25">
      <c r="A21" s="15">
        <v>9</v>
      </c>
      <c r="B21" s="16" t="s">
        <v>15</v>
      </c>
      <c r="C21" s="17">
        <v>2</v>
      </c>
      <c r="D21" s="18">
        <v>1</v>
      </c>
      <c r="E21" s="18">
        <v>1</v>
      </c>
      <c r="F21" s="18"/>
      <c r="G21" s="18">
        <v>5</v>
      </c>
      <c r="H21" s="18">
        <v>1</v>
      </c>
      <c r="I21" s="18">
        <v>1</v>
      </c>
      <c r="J21" s="18"/>
      <c r="K21" s="18">
        <v>1</v>
      </c>
      <c r="L21" s="18">
        <v>1</v>
      </c>
      <c r="M21" s="18">
        <v>1</v>
      </c>
      <c r="N21" s="18"/>
      <c r="O21" s="18">
        <v>1</v>
      </c>
      <c r="P21" s="18">
        <v>1</v>
      </c>
      <c r="Q21" s="18"/>
      <c r="R21" s="18"/>
      <c r="S21" s="18">
        <v>1</v>
      </c>
      <c r="T21" s="18"/>
      <c r="U21" s="18">
        <v>1</v>
      </c>
      <c r="V21" s="19">
        <v>1</v>
      </c>
      <c r="W21" s="19"/>
      <c r="X21" s="19"/>
      <c r="Y21" s="19">
        <v>1</v>
      </c>
      <c r="Z21" s="19"/>
      <c r="AA21" s="19"/>
      <c r="AB21" s="19"/>
      <c r="AC21" s="19">
        <v>1</v>
      </c>
      <c r="AD21" s="19"/>
      <c r="AE21" s="19"/>
      <c r="AF21" s="19"/>
      <c r="AG21" s="19"/>
      <c r="AH21" s="19"/>
      <c r="AI21" s="19"/>
      <c r="AJ21" s="19"/>
      <c r="AK21" s="19"/>
      <c r="AL21" s="19"/>
      <c r="AM21" s="19"/>
      <c r="AN21" s="19">
        <v>1</v>
      </c>
      <c r="AO21" s="19"/>
      <c r="AP21" s="19"/>
      <c r="AQ21" s="19">
        <v>20</v>
      </c>
      <c r="AR21" s="19"/>
      <c r="AS21" s="19"/>
    </row>
    <row r="22" spans="1:45" ht="15.75" x14ac:dyDescent="0.25">
      <c r="A22" s="15">
        <v>10</v>
      </c>
      <c r="B22" s="16" t="s">
        <v>16</v>
      </c>
      <c r="C22" s="17">
        <v>2</v>
      </c>
      <c r="D22" s="18">
        <v>1</v>
      </c>
      <c r="E22" s="18">
        <v>1</v>
      </c>
      <c r="F22" s="18"/>
      <c r="G22" s="18">
        <v>5</v>
      </c>
      <c r="H22" s="18">
        <v>1</v>
      </c>
      <c r="I22" s="18">
        <v>1</v>
      </c>
      <c r="J22" s="18"/>
      <c r="K22" s="18">
        <v>1</v>
      </c>
      <c r="L22" s="18">
        <v>1</v>
      </c>
      <c r="M22" s="18">
        <v>1</v>
      </c>
      <c r="N22" s="18"/>
      <c r="O22" s="18">
        <v>1</v>
      </c>
      <c r="P22" s="18">
        <v>1</v>
      </c>
      <c r="Q22" s="18"/>
      <c r="R22" s="18"/>
      <c r="S22" s="18">
        <v>1</v>
      </c>
      <c r="T22" s="18"/>
      <c r="U22" s="18">
        <v>1</v>
      </c>
      <c r="V22" s="19">
        <v>1</v>
      </c>
      <c r="W22" s="19"/>
      <c r="X22" s="19"/>
      <c r="Y22" s="19">
        <v>1</v>
      </c>
      <c r="Z22" s="19"/>
      <c r="AA22" s="19"/>
      <c r="AB22" s="19"/>
      <c r="AC22" s="19">
        <v>1</v>
      </c>
      <c r="AD22" s="19"/>
      <c r="AE22" s="19"/>
      <c r="AF22" s="19"/>
      <c r="AG22" s="19"/>
      <c r="AH22" s="19"/>
      <c r="AI22" s="19"/>
      <c r="AJ22" s="19"/>
      <c r="AK22" s="19"/>
      <c r="AL22" s="19"/>
      <c r="AM22" s="19"/>
      <c r="AN22" s="19">
        <v>1</v>
      </c>
      <c r="AO22" s="19"/>
      <c r="AP22" s="19"/>
      <c r="AQ22" s="19"/>
      <c r="AR22" s="19"/>
      <c r="AS22" s="19"/>
    </row>
    <row r="23" spans="1:45" ht="15.75" x14ac:dyDescent="0.25">
      <c r="A23" s="15">
        <v>11</v>
      </c>
      <c r="B23" s="16" t="s">
        <v>17</v>
      </c>
      <c r="C23" s="17">
        <v>2</v>
      </c>
      <c r="D23" s="18">
        <v>1</v>
      </c>
      <c r="E23" s="18">
        <v>1</v>
      </c>
      <c r="F23" s="18"/>
      <c r="G23" s="18">
        <v>5</v>
      </c>
      <c r="H23" s="18">
        <v>1</v>
      </c>
      <c r="I23" s="18">
        <v>1</v>
      </c>
      <c r="J23" s="18"/>
      <c r="K23" s="18">
        <v>1</v>
      </c>
      <c r="L23" s="18">
        <v>1</v>
      </c>
      <c r="M23" s="18">
        <v>1</v>
      </c>
      <c r="N23" s="18"/>
      <c r="O23" s="18">
        <v>1</v>
      </c>
      <c r="P23" s="18">
        <v>1</v>
      </c>
      <c r="Q23" s="18"/>
      <c r="R23" s="18"/>
      <c r="S23" s="18">
        <v>1</v>
      </c>
      <c r="T23" s="18"/>
      <c r="U23" s="18">
        <v>1</v>
      </c>
      <c r="V23" s="19">
        <v>1</v>
      </c>
      <c r="W23" s="19"/>
      <c r="X23" s="19"/>
      <c r="Y23" s="19">
        <v>1</v>
      </c>
      <c r="Z23" s="19"/>
      <c r="AA23" s="19"/>
      <c r="AB23" s="19"/>
      <c r="AC23" s="19">
        <v>1</v>
      </c>
      <c r="AD23" s="19"/>
      <c r="AE23" s="19"/>
      <c r="AF23" s="19"/>
      <c r="AG23" s="19"/>
      <c r="AH23" s="19"/>
      <c r="AI23" s="19"/>
      <c r="AJ23" s="19"/>
      <c r="AK23" s="19"/>
      <c r="AL23" s="19"/>
      <c r="AM23" s="19"/>
      <c r="AN23" s="19">
        <v>1</v>
      </c>
      <c r="AO23" s="19"/>
      <c r="AP23" s="19"/>
      <c r="AQ23" s="19">
        <v>20</v>
      </c>
      <c r="AR23" s="19"/>
      <c r="AS23" s="19"/>
    </row>
    <row r="24" spans="1:45" ht="15.75" x14ac:dyDescent="0.25">
      <c r="A24" s="15">
        <v>12</v>
      </c>
      <c r="B24" s="16" t="s">
        <v>18</v>
      </c>
      <c r="C24" s="17">
        <v>2</v>
      </c>
      <c r="D24" s="18">
        <v>1</v>
      </c>
      <c r="E24" s="18">
        <v>1</v>
      </c>
      <c r="F24" s="18"/>
      <c r="G24" s="18">
        <v>5</v>
      </c>
      <c r="H24" s="18">
        <v>1</v>
      </c>
      <c r="I24" s="18">
        <v>1</v>
      </c>
      <c r="J24" s="18"/>
      <c r="K24" s="18">
        <v>1</v>
      </c>
      <c r="L24" s="18">
        <v>1</v>
      </c>
      <c r="M24" s="18">
        <v>1</v>
      </c>
      <c r="N24" s="18"/>
      <c r="O24" s="18">
        <v>1</v>
      </c>
      <c r="P24" s="18">
        <v>1</v>
      </c>
      <c r="Q24" s="18"/>
      <c r="R24" s="18"/>
      <c r="S24" s="18">
        <v>1</v>
      </c>
      <c r="T24" s="18"/>
      <c r="U24" s="18">
        <v>1</v>
      </c>
      <c r="V24" s="19">
        <v>1</v>
      </c>
      <c r="W24" s="19"/>
      <c r="X24" s="19"/>
      <c r="Y24" s="19">
        <v>1</v>
      </c>
      <c r="Z24" s="19"/>
      <c r="AA24" s="19"/>
      <c r="AB24" s="19"/>
      <c r="AC24" s="19">
        <v>1</v>
      </c>
      <c r="AD24" s="19"/>
      <c r="AE24" s="19"/>
      <c r="AF24" s="19"/>
      <c r="AG24" s="19"/>
      <c r="AH24" s="19"/>
      <c r="AI24" s="19"/>
      <c r="AJ24" s="19"/>
      <c r="AK24" s="19"/>
      <c r="AL24" s="19"/>
      <c r="AM24" s="19"/>
      <c r="AN24" s="19">
        <v>1</v>
      </c>
      <c r="AO24" s="19"/>
      <c r="AP24" s="19"/>
      <c r="AQ24" s="19">
        <v>20</v>
      </c>
      <c r="AR24" s="19"/>
      <c r="AS24" s="19"/>
    </row>
    <row r="25" spans="1:45" ht="15.75" x14ac:dyDescent="0.25">
      <c r="A25" s="15">
        <v>13</v>
      </c>
      <c r="B25" s="16" t="s">
        <v>19</v>
      </c>
      <c r="C25" s="17">
        <v>2</v>
      </c>
      <c r="D25" s="18">
        <v>1</v>
      </c>
      <c r="E25" s="18">
        <v>1</v>
      </c>
      <c r="F25" s="18"/>
      <c r="G25" s="18">
        <v>5</v>
      </c>
      <c r="H25" s="18">
        <v>1</v>
      </c>
      <c r="I25" s="18">
        <v>1</v>
      </c>
      <c r="J25" s="18"/>
      <c r="K25" s="18">
        <v>1</v>
      </c>
      <c r="L25" s="18">
        <v>1</v>
      </c>
      <c r="M25" s="18">
        <v>1</v>
      </c>
      <c r="N25" s="18"/>
      <c r="O25" s="18">
        <v>1</v>
      </c>
      <c r="P25" s="18">
        <v>1</v>
      </c>
      <c r="Q25" s="18"/>
      <c r="R25" s="18"/>
      <c r="S25" s="18">
        <v>1</v>
      </c>
      <c r="T25" s="18"/>
      <c r="U25" s="18">
        <v>1</v>
      </c>
      <c r="V25" s="19">
        <v>1</v>
      </c>
      <c r="W25" s="19"/>
      <c r="X25" s="19"/>
      <c r="Y25" s="19">
        <v>1</v>
      </c>
      <c r="Z25" s="19"/>
      <c r="AA25" s="19"/>
      <c r="AB25" s="19"/>
      <c r="AC25" s="19">
        <v>1</v>
      </c>
      <c r="AD25" s="19"/>
      <c r="AE25" s="19"/>
      <c r="AF25" s="19"/>
      <c r="AG25" s="19"/>
      <c r="AH25" s="19"/>
      <c r="AI25" s="19"/>
      <c r="AJ25" s="19"/>
      <c r="AK25" s="19"/>
      <c r="AL25" s="19"/>
      <c r="AM25" s="19"/>
      <c r="AN25" s="19">
        <v>1</v>
      </c>
      <c r="AO25" s="19"/>
      <c r="AP25" s="19"/>
      <c r="AQ25" s="19">
        <v>20</v>
      </c>
      <c r="AR25" s="19"/>
      <c r="AS25" s="19"/>
    </row>
    <row r="26" spans="1:45" ht="15.75" x14ac:dyDescent="0.25">
      <c r="A26" s="15">
        <v>14</v>
      </c>
      <c r="B26" s="16" t="s">
        <v>20</v>
      </c>
      <c r="C26" s="17">
        <v>2</v>
      </c>
      <c r="D26" s="18">
        <v>1</v>
      </c>
      <c r="E26" s="18">
        <v>1</v>
      </c>
      <c r="F26" s="18"/>
      <c r="G26" s="18">
        <v>5</v>
      </c>
      <c r="H26" s="18">
        <v>1</v>
      </c>
      <c r="I26" s="18">
        <v>1</v>
      </c>
      <c r="J26" s="18"/>
      <c r="K26" s="18">
        <v>1</v>
      </c>
      <c r="L26" s="18">
        <v>1</v>
      </c>
      <c r="M26" s="18">
        <v>1</v>
      </c>
      <c r="N26" s="18"/>
      <c r="O26" s="18">
        <v>1</v>
      </c>
      <c r="P26" s="18">
        <v>1</v>
      </c>
      <c r="Q26" s="18"/>
      <c r="R26" s="18"/>
      <c r="S26" s="18">
        <v>1</v>
      </c>
      <c r="T26" s="18"/>
      <c r="U26" s="18">
        <v>1</v>
      </c>
      <c r="V26" s="19">
        <v>1</v>
      </c>
      <c r="W26" s="19"/>
      <c r="X26" s="19"/>
      <c r="Y26" s="19">
        <v>1</v>
      </c>
      <c r="Z26" s="19"/>
      <c r="AA26" s="19"/>
      <c r="AB26" s="19"/>
      <c r="AC26" s="19">
        <v>1</v>
      </c>
      <c r="AD26" s="19"/>
      <c r="AE26" s="19"/>
      <c r="AF26" s="19"/>
      <c r="AG26" s="19"/>
      <c r="AH26" s="19"/>
      <c r="AI26" s="19"/>
      <c r="AJ26" s="19"/>
      <c r="AK26" s="19"/>
      <c r="AL26" s="19"/>
      <c r="AM26" s="19"/>
      <c r="AN26" s="19">
        <v>1</v>
      </c>
      <c r="AO26" s="19"/>
      <c r="AP26" s="19"/>
      <c r="AQ26" s="19">
        <v>20</v>
      </c>
      <c r="AR26" s="19"/>
      <c r="AS26" s="19"/>
    </row>
    <row r="27" spans="1:45" ht="15.75" x14ac:dyDescent="0.25">
      <c r="A27" s="15">
        <v>15</v>
      </c>
      <c r="B27" s="16" t="s">
        <v>21</v>
      </c>
      <c r="C27" s="17">
        <v>2</v>
      </c>
      <c r="D27" s="18">
        <v>1</v>
      </c>
      <c r="E27" s="18">
        <v>1</v>
      </c>
      <c r="F27" s="18"/>
      <c r="G27" s="18">
        <v>5</v>
      </c>
      <c r="H27" s="18">
        <v>1</v>
      </c>
      <c r="I27" s="18">
        <v>1</v>
      </c>
      <c r="J27" s="18"/>
      <c r="K27" s="18">
        <v>1</v>
      </c>
      <c r="L27" s="18">
        <v>1</v>
      </c>
      <c r="M27" s="18">
        <v>1</v>
      </c>
      <c r="N27" s="18"/>
      <c r="O27" s="18">
        <v>1</v>
      </c>
      <c r="P27" s="18">
        <v>1</v>
      </c>
      <c r="Q27" s="18"/>
      <c r="R27" s="18"/>
      <c r="S27" s="18">
        <v>1</v>
      </c>
      <c r="T27" s="18"/>
      <c r="U27" s="18">
        <v>1</v>
      </c>
      <c r="V27" s="19">
        <v>1</v>
      </c>
      <c r="W27" s="19"/>
      <c r="X27" s="19"/>
      <c r="Y27" s="19">
        <v>1</v>
      </c>
      <c r="Z27" s="19"/>
      <c r="AA27" s="19"/>
      <c r="AB27" s="19"/>
      <c r="AC27" s="19">
        <v>1</v>
      </c>
      <c r="AD27" s="19"/>
      <c r="AE27" s="19"/>
      <c r="AF27" s="19"/>
      <c r="AG27" s="19"/>
      <c r="AH27" s="19"/>
      <c r="AI27" s="19"/>
      <c r="AJ27" s="19"/>
      <c r="AK27" s="19"/>
      <c r="AL27" s="19"/>
      <c r="AM27" s="19"/>
      <c r="AN27" s="19">
        <v>1</v>
      </c>
      <c r="AO27" s="19"/>
      <c r="AP27" s="19"/>
      <c r="AQ27" s="19">
        <v>20</v>
      </c>
      <c r="AR27" s="19"/>
      <c r="AS27" s="19"/>
    </row>
    <row r="28" spans="1:45" ht="15.75" x14ac:dyDescent="0.25">
      <c r="A28" s="15">
        <v>16</v>
      </c>
      <c r="B28" s="16" t="s">
        <v>22</v>
      </c>
      <c r="C28" s="17">
        <v>2</v>
      </c>
      <c r="D28" s="18">
        <v>1</v>
      </c>
      <c r="E28" s="18">
        <v>1</v>
      </c>
      <c r="F28" s="18"/>
      <c r="G28" s="18">
        <v>5</v>
      </c>
      <c r="H28" s="18">
        <v>1</v>
      </c>
      <c r="I28" s="18">
        <v>1</v>
      </c>
      <c r="J28" s="18"/>
      <c r="K28" s="18">
        <v>1</v>
      </c>
      <c r="L28" s="18">
        <v>1</v>
      </c>
      <c r="M28" s="18">
        <v>1</v>
      </c>
      <c r="N28" s="18"/>
      <c r="O28" s="18">
        <v>1</v>
      </c>
      <c r="P28" s="18">
        <v>1</v>
      </c>
      <c r="Q28" s="18"/>
      <c r="R28" s="18"/>
      <c r="S28" s="18">
        <v>1</v>
      </c>
      <c r="T28" s="18"/>
      <c r="U28" s="18">
        <v>1</v>
      </c>
      <c r="V28" s="19">
        <v>1</v>
      </c>
      <c r="W28" s="19"/>
      <c r="X28" s="19"/>
      <c r="Y28" s="19">
        <v>1</v>
      </c>
      <c r="Z28" s="19"/>
      <c r="AA28" s="19"/>
      <c r="AB28" s="19"/>
      <c r="AC28" s="19">
        <v>1</v>
      </c>
      <c r="AD28" s="19"/>
      <c r="AE28" s="19"/>
      <c r="AF28" s="19"/>
      <c r="AG28" s="19"/>
      <c r="AH28" s="19"/>
      <c r="AI28" s="19"/>
      <c r="AJ28" s="19"/>
      <c r="AK28" s="19"/>
      <c r="AL28" s="19"/>
      <c r="AM28" s="19"/>
      <c r="AN28" s="19">
        <v>1</v>
      </c>
      <c r="AO28" s="19"/>
      <c r="AP28" s="19"/>
      <c r="AQ28" s="19"/>
      <c r="AR28" s="19"/>
      <c r="AS28" s="19"/>
    </row>
    <row r="29" spans="1:45" ht="15.75" x14ac:dyDescent="0.25">
      <c r="A29" s="15">
        <v>17</v>
      </c>
      <c r="B29" s="16" t="s">
        <v>23</v>
      </c>
      <c r="C29" s="17">
        <v>2</v>
      </c>
      <c r="D29" s="18">
        <v>1</v>
      </c>
      <c r="E29" s="18">
        <v>1</v>
      </c>
      <c r="F29" s="18"/>
      <c r="G29" s="18">
        <v>5</v>
      </c>
      <c r="H29" s="18">
        <v>1</v>
      </c>
      <c r="I29" s="18">
        <v>1</v>
      </c>
      <c r="J29" s="18"/>
      <c r="K29" s="18">
        <v>1</v>
      </c>
      <c r="L29" s="18">
        <v>1</v>
      </c>
      <c r="M29" s="18">
        <v>1</v>
      </c>
      <c r="N29" s="18"/>
      <c r="O29" s="18">
        <v>1</v>
      </c>
      <c r="P29" s="18">
        <v>1</v>
      </c>
      <c r="Q29" s="18"/>
      <c r="R29" s="18"/>
      <c r="S29" s="18">
        <v>1</v>
      </c>
      <c r="T29" s="18"/>
      <c r="U29" s="18">
        <v>1</v>
      </c>
      <c r="V29" s="19">
        <v>1</v>
      </c>
      <c r="W29" s="19"/>
      <c r="X29" s="19"/>
      <c r="Y29" s="19">
        <v>1</v>
      </c>
      <c r="Z29" s="19"/>
      <c r="AA29" s="19"/>
      <c r="AB29" s="19"/>
      <c r="AC29" s="19">
        <v>1</v>
      </c>
      <c r="AD29" s="19"/>
      <c r="AE29" s="19"/>
      <c r="AF29" s="19"/>
      <c r="AG29" s="19"/>
      <c r="AH29" s="19"/>
      <c r="AI29" s="19"/>
      <c r="AJ29" s="19"/>
      <c r="AK29" s="19"/>
      <c r="AL29" s="19"/>
      <c r="AM29" s="19"/>
      <c r="AN29" s="19">
        <v>1</v>
      </c>
      <c r="AO29" s="19"/>
      <c r="AP29" s="19"/>
      <c r="AQ29" s="19"/>
      <c r="AR29" s="19"/>
      <c r="AS29" s="19"/>
    </row>
    <row r="30" spans="1:45" ht="15.75" x14ac:dyDescent="0.25">
      <c r="A30" s="15">
        <v>18</v>
      </c>
      <c r="B30" s="21" t="s">
        <v>24</v>
      </c>
      <c r="C30" s="17">
        <v>2</v>
      </c>
      <c r="D30" s="18">
        <v>1</v>
      </c>
      <c r="E30" s="18">
        <v>1</v>
      </c>
      <c r="F30" s="18"/>
      <c r="G30" s="18">
        <v>5</v>
      </c>
      <c r="H30" s="18">
        <v>1</v>
      </c>
      <c r="I30" s="18">
        <v>1</v>
      </c>
      <c r="J30" s="18"/>
      <c r="K30" s="18">
        <v>1</v>
      </c>
      <c r="L30" s="18">
        <v>1</v>
      </c>
      <c r="M30" s="18">
        <v>1</v>
      </c>
      <c r="N30" s="18"/>
      <c r="O30" s="18">
        <v>1</v>
      </c>
      <c r="P30" s="18">
        <v>1</v>
      </c>
      <c r="Q30" s="18"/>
      <c r="R30" s="18"/>
      <c r="S30" s="18">
        <v>1</v>
      </c>
      <c r="T30" s="18"/>
      <c r="U30" s="18">
        <v>1</v>
      </c>
      <c r="V30" s="19">
        <v>1</v>
      </c>
      <c r="W30" s="19"/>
      <c r="X30" s="19"/>
      <c r="Y30" s="19">
        <v>1</v>
      </c>
      <c r="Z30" s="19"/>
      <c r="AA30" s="19"/>
      <c r="AB30" s="19"/>
      <c r="AC30" s="19">
        <v>1</v>
      </c>
      <c r="AD30" s="19"/>
      <c r="AE30" s="19"/>
      <c r="AF30" s="19"/>
      <c r="AG30" s="19"/>
      <c r="AH30" s="19"/>
      <c r="AI30" s="19"/>
      <c r="AJ30" s="19"/>
      <c r="AK30" s="19"/>
      <c r="AL30" s="19"/>
      <c r="AM30" s="19"/>
      <c r="AN30" s="19">
        <v>1</v>
      </c>
      <c r="AO30" s="19"/>
      <c r="AP30" s="19"/>
      <c r="AQ30" s="19">
        <v>20</v>
      </c>
      <c r="AR30" s="19"/>
      <c r="AS30" s="19"/>
    </row>
    <row r="31" spans="1:45" ht="15.75" x14ac:dyDescent="0.25">
      <c r="A31" s="15">
        <v>19</v>
      </c>
      <c r="B31" s="21" t="s">
        <v>25</v>
      </c>
      <c r="C31" s="17">
        <v>2</v>
      </c>
      <c r="D31" s="18">
        <v>1</v>
      </c>
      <c r="E31" s="18">
        <v>1</v>
      </c>
      <c r="F31" s="18"/>
      <c r="G31" s="18">
        <v>5</v>
      </c>
      <c r="H31" s="18">
        <v>1</v>
      </c>
      <c r="I31" s="18">
        <v>1</v>
      </c>
      <c r="J31" s="18"/>
      <c r="K31" s="18">
        <v>1</v>
      </c>
      <c r="L31" s="18">
        <v>1</v>
      </c>
      <c r="M31" s="18">
        <v>1</v>
      </c>
      <c r="N31" s="18"/>
      <c r="O31" s="18">
        <v>1</v>
      </c>
      <c r="P31" s="18">
        <v>1</v>
      </c>
      <c r="Q31" s="18"/>
      <c r="R31" s="18"/>
      <c r="S31" s="18">
        <v>1</v>
      </c>
      <c r="T31" s="18"/>
      <c r="U31" s="18">
        <v>1</v>
      </c>
      <c r="V31" s="19">
        <v>1</v>
      </c>
      <c r="W31" s="19"/>
      <c r="X31" s="19"/>
      <c r="Y31" s="19">
        <v>1</v>
      </c>
      <c r="Z31" s="19"/>
      <c r="AA31" s="19"/>
      <c r="AB31" s="19"/>
      <c r="AC31" s="19">
        <v>1</v>
      </c>
      <c r="AD31" s="19"/>
      <c r="AE31" s="19"/>
      <c r="AF31" s="19"/>
      <c r="AG31" s="19"/>
      <c r="AH31" s="19"/>
      <c r="AI31" s="19"/>
      <c r="AJ31" s="19"/>
      <c r="AK31" s="19"/>
      <c r="AL31" s="19"/>
      <c r="AM31" s="19"/>
      <c r="AN31" s="19">
        <v>1</v>
      </c>
      <c r="AO31" s="19"/>
      <c r="AP31" s="19"/>
      <c r="AQ31" s="19">
        <v>20</v>
      </c>
      <c r="AR31" s="19"/>
      <c r="AS31" s="19"/>
    </row>
    <row r="32" spans="1:45" ht="15.75" x14ac:dyDescent="0.25">
      <c r="A32" s="15">
        <v>20</v>
      </c>
      <c r="B32" s="21" t="s">
        <v>26</v>
      </c>
      <c r="C32" s="17">
        <v>2</v>
      </c>
      <c r="D32" s="18">
        <v>1</v>
      </c>
      <c r="E32" s="18">
        <v>1</v>
      </c>
      <c r="F32" s="18"/>
      <c r="G32" s="18">
        <v>5</v>
      </c>
      <c r="H32" s="18">
        <v>1</v>
      </c>
      <c r="I32" s="18">
        <v>1</v>
      </c>
      <c r="J32" s="18"/>
      <c r="K32" s="18">
        <v>1</v>
      </c>
      <c r="L32" s="18">
        <v>1</v>
      </c>
      <c r="M32" s="18">
        <v>1</v>
      </c>
      <c r="N32" s="18"/>
      <c r="O32" s="18">
        <v>1</v>
      </c>
      <c r="P32" s="18">
        <v>1</v>
      </c>
      <c r="Q32" s="18"/>
      <c r="R32" s="18"/>
      <c r="S32" s="18">
        <v>1</v>
      </c>
      <c r="T32" s="18"/>
      <c r="U32" s="18">
        <v>1</v>
      </c>
      <c r="V32" s="19">
        <v>1</v>
      </c>
      <c r="W32" s="19"/>
      <c r="X32" s="19"/>
      <c r="Y32" s="19">
        <v>1</v>
      </c>
      <c r="Z32" s="19"/>
      <c r="AA32" s="19"/>
      <c r="AB32" s="19"/>
      <c r="AC32" s="19">
        <v>1</v>
      </c>
      <c r="AD32" s="19"/>
      <c r="AE32" s="19"/>
      <c r="AF32" s="19"/>
      <c r="AG32" s="19"/>
      <c r="AH32" s="19"/>
      <c r="AI32" s="19"/>
      <c r="AJ32" s="19"/>
      <c r="AK32" s="19"/>
      <c r="AL32" s="19"/>
      <c r="AM32" s="19"/>
      <c r="AN32" s="19">
        <v>1</v>
      </c>
      <c r="AO32" s="19"/>
      <c r="AP32" s="19"/>
      <c r="AQ32" s="19">
        <v>20</v>
      </c>
      <c r="AR32" s="19"/>
      <c r="AS32" s="19"/>
    </row>
    <row r="33" spans="1:45" ht="15.75" x14ac:dyDescent="0.25">
      <c r="A33" s="15">
        <v>21</v>
      </c>
      <c r="B33" s="16" t="s">
        <v>27</v>
      </c>
      <c r="C33" s="17">
        <v>2</v>
      </c>
      <c r="D33" s="18">
        <v>1</v>
      </c>
      <c r="E33" s="18">
        <v>1</v>
      </c>
      <c r="F33" s="18"/>
      <c r="G33" s="18">
        <v>5</v>
      </c>
      <c r="H33" s="18">
        <v>1</v>
      </c>
      <c r="I33" s="18">
        <v>1</v>
      </c>
      <c r="J33" s="18"/>
      <c r="K33" s="18">
        <v>1</v>
      </c>
      <c r="L33" s="18">
        <v>1</v>
      </c>
      <c r="M33" s="18">
        <v>1</v>
      </c>
      <c r="N33" s="18"/>
      <c r="O33" s="18">
        <v>1</v>
      </c>
      <c r="P33" s="18">
        <v>1</v>
      </c>
      <c r="Q33" s="18"/>
      <c r="R33" s="18"/>
      <c r="S33" s="18">
        <v>1</v>
      </c>
      <c r="T33" s="18"/>
      <c r="U33" s="18">
        <v>1</v>
      </c>
      <c r="V33" s="19">
        <v>1</v>
      </c>
      <c r="W33" s="19"/>
      <c r="X33" s="19"/>
      <c r="Y33" s="19">
        <v>1</v>
      </c>
      <c r="Z33" s="19"/>
      <c r="AA33" s="19"/>
      <c r="AB33" s="19"/>
      <c r="AC33" s="19">
        <v>1</v>
      </c>
      <c r="AD33" s="19"/>
      <c r="AE33" s="19"/>
      <c r="AF33" s="19"/>
      <c r="AG33" s="19"/>
      <c r="AH33" s="19"/>
      <c r="AI33" s="19"/>
      <c r="AJ33" s="19"/>
      <c r="AK33" s="19"/>
      <c r="AL33" s="19"/>
      <c r="AM33" s="19"/>
      <c r="AN33" s="19">
        <v>1</v>
      </c>
      <c r="AO33" s="19"/>
      <c r="AP33" s="19"/>
      <c r="AQ33" s="19"/>
      <c r="AR33" s="19"/>
      <c r="AS33" s="19"/>
    </row>
    <row r="34" spans="1:45" ht="15.75" x14ac:dyDescent="0.25">
      <c r="A34" s="15">
        <v>22</v>
      </c>
      <c r="B34" s="16" t="s">
        <v>28</v>
      </c>
      <c r="C34" s="17">
        <v>2</v>
      </c>
      <c r="D34" s="18">
        <v>1</v>
      </c>
      <c r="E34" s="18">
        <v>1</v>
      </c>
      <c r="F34" s="18"/>
      <c r="G34" s="18">
        <v>5</v>
      </c>
      <c r="H34" s="18">
        <v>1</v>
      </c>
      <c r="I34" s="18">
        <v>1</v>
      </c>
      <c r="J34" s="18"/>
      <c r="K34" s="18">
        <v>1</v>
      </c>
      <c r="L34" s="18">
        <v>1</v>
      </c>
      <c r="M34" s="18">
        <v>1</v>
      </c>
      <c r="N34" s="18"/>
      <c r="O34" s="18">
        <v>1</v>
      </c>
      <c r="P34" s="18">
        <v>1</v>
      </c>
      <c r="Q34" s="18"/>
      <c r="R34" s="18"/>
      <c r="S34" s="18">
        <v>1</v>
      </c>
      <c r="T34" s="18"/>
      <c r="U34" s="18">
        <v>1</v>
      </c>
      <c r="V34" s="19">
        <v>1</v>
      </c>
      <c r="W34" s="19"/>
      <c r="X34" s="19"/>
      <c r="Y34" s="19">
        <v>1</v>
      </c>
      <c r="Z34" s="19"/>
      <c r="AA34" s="19"/>
      <c r="AB34" s="19"/>
      <c r="AC34" s="19">
        <v>1</v>
      </c>
      <c r="AD34" s="19"/>
      <c r="AE34" s="19"/>
      <c r="AF34" s="19"/>
      <c r="AG34" s="19"/>
      <c r="AH34" s="19"/>
      <c r="AI34" s="19"/>
      <c r="AJ34" s="19"/>
      <c r="AK34" s="19"/>
      <c r="AL34" s="19"/>
      <c r="AM34" s="19"/>
      <c r="AN34" s="19">
        <v>1</v>
      </c>
      <c r="AO34" s="19"/>
      <c r="AP34" s="19"/>
      <c r="AQ34" s="19">
        <v>20</v>
      </c>
      <c r="AR34" s="19"/>
      <c r="AS34" s="19"/>
    </row>
    <row r="35" spans="1:45" ht="15.75" x14ac:dyDescent="0.25">
      <c r="A35" s="15">
        <v>23</v>
      </c>
      <c r="B35" s="16" t="s">
        <v>29</v>
      </c>
      <c r="C35" s="17">
        <v>2</v>
      </c>
      <c r="D35" s="18">
        <v>1</v>
      </c>
      <c r="E35" s="18">
        <v>1</v>
      </c>
      <c r="F35" s="18"/>
      <c r="G35" s="18">
        <v>5</v>
      </c>
      <c r="H35" s="18">
        <v>1</v>
      </c>
      <c r="I35" s="18">
        <v>1</v>
      </c>
      <c r="J35" s="18"/>
      <c r="K35" s="18">
        <v>1</v>
      </c>
      <c r="L35" s="18">
        <v>1</v>
      </c>
      <c r="M35" s="18">
        <v>1</v>
      </c>
      <c r="N35" s="18"/>
      <c r="O35" s="18">
        <v>1</v>
      </c>
      <c r="P35" s="18">
        <v>1</v>
      </c>
      <c r="Q35" s="18"/>
      <c r="R35" s="18"/>
      <c r="S35" s="18">
        <v>1</v>
      </c>
      <c r="T35" s="18"/>
      <c r="U35" s="18">
        <v>1</v>
      </c>
      <c r="V35" s="19">
        <v>1</v>
      </c>
      <c r="W35" s="19"/>
      <c r="X35" s="19"/>
      <c r="Y35" s="19">
        <v>1</v>
      </c>
      <c r="Z35" s="19"/>
      <c r="AA35" s="19"/>
      <c r="AB35" s="19"/>
      <c r="AC35" s="19">
        <v>1</v>
      </c>
      <c r="AD35" s="19"/>
      <c r="AE35" s="19"/>
      <c r="AF35" s="19"/>
      <c r="AG35" s="19"/>
      <c r="AH35" s="19"/>
      <c r="AI35" s="19"/>
      <c r="AJ35" s="19"/>
      <c r="AK35" s="19"/>
      <c r="AL35" s="19"/>
      <c r="AM35" s="19"/>
      <c r="AN35" s="19">
        <v>1</v>
      </c>
      <c r="AO35" s="19"/>
      <c r="AP35" s="19"/>
      <c r="AQ35" s="19">
        <v>20</v>
      </c>
      <c r="AR35" s="19"/>
      <c r="AS35" s="19"/>
    </row>
    <row r="36" spans="1:45" ht="15.75" x14ac:dyDescent="0.25">
      <c r="A36" s="15">
        <v>24</v>
      </c>
      <c r="B36" s="16" t="s">
        <v>30</v>
      </c>
      <c r="C36" s="17">
        <v>2</v>
      </c>
      <c r="D36" s="18">
        <v>1</v>
      </c>
      <c r="E36" s="18">
        <v>1</v>
      </c>
      <c r="F36" s="18"/>
      <c r="G36" s="18">
        <v>5</v>
      </c>
      <c r="H36" s="18">
        <v>1</v>
      </c>
      <c r="I36" s="18">
        <v>1</v>
      </c>
      <c r="J36" s="18"/>
      <c r="K36" s="18">
        <v>1</v>
      </c>
      <c r="L36" s="18">
        <v>1</v>
      </c>
      <c r="M36" s="18">
        <v>1</v>
      </c>
      <c r="N36" s="18"/>
      <c r="O36" s="18">
        <v>1</v>
      </c>
      <c r="P36" s="18">
        <v>1</v>
      </c>
      <c r="Q36" s="18"/>
      <c r="R36" s="18"/>
      <c r="S36" s="18">
        <v>1</v>
      </c>
      <c r="T36" s="18"/>
      <c r="U36" s="18">
        <v>1</v>
      </c>
      <c r="V36" s="19">
        <v>1</v>
      </c>
      <c r="W36" s="19"/>
      <c r="X36" s="19"/>
      <c r="Y36" s="19">
        <v>1</v>
      </c>
      <c r="Z36" s="19"/>
      <c r="AA36" s="19"/>
      <c r="AB36" s="19"/>
      <c r="AC36" s="19">
        <v>1</v>
      </c>
      <c r="AD36" s="19"/>
      <c r="AE36" s="19"/>
      <c r="AF36" s="19"/>
      <c r="AG36" s="19"/>
      <c r="AH36" s="19"/>
      <c r="AI36" s="19"/>
      <c r="AJ36" s="19"/>
      <c r="AK36" s="19"/>
      <c r="AL36" s="19"/>
      <c r="AM36" s="19"/>
      <c r="AN36" s="19">
        <v>1</v>
      </c>
      <c r="AO36" s="19"/>
      <c r="AP36" s="19"/>
      <c r="AQ36" s="19">
        <v>20</v>
      </c>
      <c r="AR36" s="19"/>
      <c r="AS36" s="19"/>
    </row>
    <row r="37" spans="1:45" ht="15.75" x14ac:dyDescent="0.25">
      <c r="A37" s="15">
        <v>25</v>
      </c>
      <c r="B37" s="16" t="s">
        <v>31</v>
      </c>
      <c r="C37" s="17">
        <v>2</v>
      </c>
      <c r="D37" s="18">
        <v>1</v>
      </c>
      <c r="E37" s="18">
        <v>1</v>
      </c>
      <c r="F37" s="18"/>
      <c r="G37" s="18">
        <v>5</v>
      </c>
      <c r="H37" s="18">
        <v>1</v>
      </c>
      <c r="I37" s="18">
        <v>1</v>
      </c>
      <c r="J37" s="18"/>
      <c r="K37" s="18">
        <v>1</v>
      </c>
      <c r="L37" s="18">
        <v>1</v>
      </c>
      <c r="M37" s="18">
        <v>1</v>
      </c>
      <c r="N37" s="18"/>
      <c r="O37" s="18">
        <v>1</v>
      </c>
      <c r="P37" s="18">
        <v>1</v>
      </c>
      <c r="Q37" s="18"/>
      <c r="R37" s="18"/>
      <c r="S37" s="18">
        <v>1</v>
      </c>
      <c r="T37" s="18"/>
      <c r="U37" s="18">
        <v>1</v>
      </c>
      <c r="V37" s="19">
        <v>1</v>
      </c>
      <c r="W37" s="19"/>
      <c r="X37" s="19"/>
      <c r="Y37" s="19">
        <v>1</v>
      </c>
      <c r="Z37" s="19"/>
      <c r="AA37" s="19"/>
      <c r="AB37" s="19"/>
      <c r="AC37" s="19">
        <v>1</v>
      </c>
      <c r="AD37" s="19"/>
      <c r="AE37" s="19"/>
      <c r="AF37" s="19"/>
      <c r="AG37" s="19"/>
      <c r="AH37" s="19"/>
      <c r="AI37" s="19"/>
      <c r="AJ37" s="19"/>
      <c r="AK37" s="19"/>
      <c r="AL37" s="19"/>
      <c r="AM37" s="19"/>
      <c r="AN37" s="19">
        <v>1</v>
      </c>
      <c r="AO37" s="19"/>
      <c r="AP37" s="19"/>
      <c r="AQ37" s="19">
        <v>20</v>
      </c>
      <c r="AR37" s="19"/>
      <c r="AS37" s="19"/>
    </row>
    <row r="38" spans="1:45" ht="15.75" x14ac:dyDescent="0.25">
      <c r="A38" s="15">
        <v>26</v>
      </c>
      <c r="B38" s="21" t="s">
        <v>32</v>
      </c>
      <c r="C38" s="17">
        <v>2</v>
      </c>
      <c r="D38" s="18">
        <v>1</v>
      </c>
      <c r="E38" s="18">
        <v>1</v>
      </c>
      <c r="F38" s="18"/>
      <c r="G38" s="18">
        <v>5</v>
      </c>
      <c r="H38" s="18">
        <v>1</v>
      </c>
      <c r="I38" s="18">
        <v>1</v>
      </c>
      <c r="J38" s="18"/>
      <c r="K38" s="18">
        <v>1</v>
      </c>
      <c r="L38" s="18">
        <v>1</v>
      </c>
      <c r="M38" s="18">
        <v>1</v>
      </c>
      <c r="N38" s="18"/>
      <c r="O38" s="18">
        <v>1</v>
      </c>
      <c r="P38" s="18">
        <v>1</v>
      </c>
      <c r="Q38" s="18"/>
      <c r="R38" s="18"/>
      <c r="S38" s="18">
        <v>1</v>
      </c>
      <c r="T38" s="18"/>
      <c r="U38" s="18">
        <v>1</v>
      </c>
      <c r="V38" s="19">
        <v>1</v>
      </c>
      <c r="W38" s="19"/>
      <c r="X38" s="19"/>
      <c r="Y38" s="19">
        <v>1</v>
      </c>
      <c r="Z38" s="19"/>
      <c r="AA38" s="19"/>
      <c r="AB38" s="19"/>
      <c r="AC38" s="19">
        <v>1</v>
      </c>
      <c r="AD38" s="19"/>
      <c r="AE38" s="19"/>
      <c r="AF38" s="19"/>
      <c r="AG38" s="19"/>
      <c r="AH38" s="19"/>
      <c r="AI38" s="19"/>
      <c r="AJ38" s="19"/>
      <c r="AK38" s="19"/>
      <c r="AL38" s="19"/>
      <c r="AM38" s="19"/>
      <c r="AN38" s="19">
        <v>1</v>
      </c>
      <c r="AO38" s="19"/>
      <c r="AP38" s="19"/>
      <c r="AQ38" s="19">
        <v>20</v>
      </c>
      <c r="AR38" s="19"/>
      <c r="AS38" s="19"/>
    </row>
    <row r="39" spans="1:45" ht="15.75" x14ac:dyDescent="0.25">
      <c r="A39" s="15">
        <v>27</v>
      </c>
      <c r="B39" s="16" t="s">
        <v>33</v>
      </c>
      <c r="C39" s="17">
        <v>2</v>
      </c>
      <c r="D39" s="18">
        <v>1</v>
      </c>
      <c r="E39" s="18">
        <v>1</v>
      </c>
      <c r="F39" s="18"/>
      <c r="G39" s="18">
        <v>5</v>
      </c>
      <c r="H39" s="18">
        <v>1</v>
      </c>
      <c r="I39" s="18">
        <v>1</v>
      </c>
      <c r="J39" s="18"/>
      <c r="K39" s="18">
        <v>1</v>
      </c>
      <c r="L39" s="18">
        <v>1</v>
      </c>
      <c r="M39" s="18">
        <v>1</v>
      </c>
      <c r="N39" s="18"/>
      <c r="O39" s="18">
        <v>1</v>
      </c>
      <c r="P39" s="18">
        <v>1</v>
      </c>
      <c r="Q39" s="18"/>
      <c r="R39" s="18"/>
      <c r="S39" s="18">
        <v>1</v>
      </c>
      <c r="T39" s="18"/>
      <c r="U39" s="18">
        <v>1</v>
      </c>
      <c r="V39" s="19">
        <v>1</v>
      </c>
      <c r="W39" s="19"/>
      <c r="X39" s="19"/>
      <c r="Y39" s="19">
        <v>1</v>
      </c>
      <c r="Z39" s="19"/>
      <c r="AA39" s="19"/>
      <c r="AB39" s="19"/>
      <c r="AC39" s="19">
        <v>1</v>
      </c>
      <c r="AD39" s="19"/>
      <c r="AE39" s="19"/>
      <c r="AF39" s="19"/>
      <c r="AG39" s="19"/>
      <c r="AH39" s="19"/>
      <c r="AI39" s="19"/>
      <c r="AJ39" s="19"/>
      <c r="AK39" s="19"/>
      <c r="AL39" s="19"/>
      <c r="AM39" s="19"/>
      <c r="AN39" s="19">
        <v>1</v>
      </c>
      <c r="AO39" s="19"/>
      <c r="AP39" s="19"/>
      <c r="AQ39" s="19">
        <v>20</v>
      </c>
      <c r="AR39" s="19"/>
      <c r="AS39" s="19"/>
    </row>
    <row r="40" spans="1:45" ht="15.75" x14ac:dyDescent="0.25">
      <c r="A40" s="15">
        <v>28</v>
      </c>
      <c r="B40" s="16" t="s">
        <v>34</v>
      </c>
      <c r="C40" s="17">
        <v>2</v>
      </c>
      <c r="D40" s="18">
        <v>1</v>
      </c>
      <c r="E40" s="18">
        <v>1</v>
      </c>
      <c r="F40" s="18"/>
      <c r="G40" s="18">
        <v>5</v>
      </c>
      <c r="H40" s="18">
        <v>1</v>
      </c>
      <c r="I40" s="18">
        <v>1</v>
      </c>
      <c r="J40" s="18"/>
      <c r="K40" s="18">
        <v>1</v>
      </c>
      <c r="L40" s="18">
        <v>1</v>
      </c>
      <c r="M40" s="18">
        <v>1</v>
      </c>
      <c r="N40" s="18"/>
      <c r="O40" s="18">
        <v>1</v>
      </c>
      <c r="P40" s="18">
        <v>1</v>
      </c>
      <c r="Q40" s="18"/>
      <c r="R40" s="18"/>
      <c r="S40" s="18">
        <v>1</v>
      </c>
      <c r="T40" s="18"/>
      <c r="U40" s="18">
        <v>1</v>
      </c>
      <c r="V40" s="19">
        <v>1</v>
      </c>
      <c r="W40" s="19"/>
      <c r="X40" s="19"/>
      <c r="Y40" s="19">
        <v>1</v>
      </c>
      <c r="Z40" s="19"/>
      <c r="AA40" s="19"/>
      <c r="AB40" s="19"/>
      <c r="AC40" s="19">
        <v>1</v>
      </c>
      <c r="AD40" s="19"/>
      <c r="AE40" s="19"/>
      <c r="AF40" s="19"/>
      <c r="AG40" s="19"/>
      <c r="AH40" s="19"/>
      <c r="AI40" s="19"/>
      <c r="AJ40" s="19"/>
      <c r="AK40" s="19"/>
      <c r="AL40" s="19"/>
      <c r="AM40" s="19"/>
      <c r="AN40" s="19">
        <v>1</v>
      </c>
      <c r="AO40" s="19"/>
      <c r="AP40" s="19"/>
      <c r="AQ40" s="19"/>
      <c r="AR40" s="19"/>
      <c r="AS40" s="19"/>
    </row>
    <row r="41" spans="1:45" ht="15.75" x14ac:dyDescent="0.25">
      <c r="A41" s="15">
        <v>29</v>
      </c>
      <c r="B41" s="16" t="s">
        <v>35</v>
      </c>
      <c r="C41" s="17">
        <v>2</v>
      </c>
      <c r="D41" s="18">
        <v>1</v>
      </c>
      <c r="E41" s="18">
        <v>1</v>
      </c>
      <c r="F41" s="18"/>
      <c r="G41" s="18">
        <v>5</v>
      </c>
      <c r="H41" s="18">
        <v>1</v>
      </c>
      <c r="I41" s="18">
        <v>1</v>
      </c>
      <c r="J41" s="18"/>
      <c r="K41" s="18">
        <v>1</v>
      </c>
      <c r="L41" s="18">
        <v>1</v>
      </c>
      <c r="M41" s="18">
        <v>1</v>
      </c>
      <c r="N41" s="18"/>
      <c r="O41" s="18">
        <v>1</v>
      </c>
      <c r="P41" s="18">
        <v>1</v>
      </c>
      <c r="Q41" s="18"/>
      <c r="R41" s="18"/>
      <c r="S41" s="18">
        <v>1</v>
      </c>
      <c r="T41" s="18"/>
      <c r="U41" s="18">
        <v>1</v>
      </c>
      <c r="V41" s="19">
        <v>1</v>
      </c>
      <c r="W41" s="19"/>
      <c r="X41" s="19"/>
      <c r="Y41" s="19">
        <v>1</v>
      </c>
      <c r="Z41" s="19"/>
      <c r="AA41" s="19"/>
      <c r="AB41" s="19"/>
      <c r="AC41" s="19">
        <v>1</v>
      </c>
      <c r="AD41" s="19"/>
      <c r="AE41" s="19"/>
      <c r="AF41" s="19"/>
      <c r="AG41" s="19"/>
      <c r="AH41" s="19"/>
      <c r="AI41" s="19"/>
      <c r="AJ41" s="19"/>
      <c r="AK41" s="19"/>
      <c r="AL41" s="19"/>
      <c r="AM41" s="19"/>
      <c r="AN41" s="19">
        <v>1</v>
      </c>
      <c r="AO41" s="19"/>
      <c r="AP41" s="19"/>
      <c r="AQ41" s="19">
        <v>20</v>
      </c>
      <c r="AR41" s="19"/>
      <c r="AS41" s="19"/>
    </row>
    <row r="42" spans="1:45" ht="15.75" x14ac:dyDescent="0.25">
      <c r="A42" s="15">
        <v>30</v>
      </c>
      <c r="B42" s="16" t="s">
        <v>36</v>
      </c>
      <c r="C42" s="17">
        <v>2</v>
      </c>
      <c r="D42" s="18">
        <v>1</v>
      </c>
      <c r="E42" s="18">
        <v>1</v>
      </c>
      <c r="F42" s="18"/>
      <c r="G42" s="18">
        <v>5</v>
      </c>
      <c r="H42" s="18">
        <v>1</v>
      </c>
      <c r="I42" s="18">
        <v>1</v>
      </c>
      <c r="J42" s="18"/>
      <c r="K42" s="18">
        <v>1</v>
      </c>
      <c r="L42" s="18">
        <v>1</v>
      </c>
      <c r="M42" s="18">
        <v>1</v>
      </c>
      <c r="N42" s="18"/>
      <c r="O42" s="18">
        <v>1</v>
      </c>
      <c r="P42" s="18">
        <v>1</v>
      </c>
      <c r="Q42" s="18"/>
      <c r="R42" s="18"/>
      <c r="S42" s="18">
        <v>1</v>
      </c>
      <c r="T42" s="18"/>
      <c r="U42" s="18">
        <v>1</v>
      </c>
      <c r="V42" s="19">
        <v>1</v>
      </c>
      <c r="W42" s="19"/>
      <c r="X42" s="19"/>
      <c r="Y42" s="19">
        <v>1</v>
      </c>
      <c r="Z42" s="19"/>
      <c r="AA42" s="19"/>
      <c r="AB42" s="19"/>
      <c r="AC42" s="19">
        <v>1</v>
      </c>
      <c r="AD42" s="19"/>
      <c r="AE42" s="19"/>
      <c r="AF42" s="19"/>
      <c r="AG42" s="19"/>
      <c r="AH42" s="19"/>
      <c r="AI42" s="19"/>
      <c r="AJ42" s="19"/>
      <c r="AK42" s="19"/>
      <c r="AL42" s="19"/>
      <c r="AM42" s="19"/>
      <c r="AN42" s="19">
        <v>1</v>
      </c>
      <c r="AO42" s="19"/>
      <c r="AP42" s="19"/>
      <c r="AQ42" s="19">
        <v>20</v>
      </c>
      <c r="AR42" s="19"/>
      <c r="AS42" s="19"/>
    </row>
    <row r="43" spans="1:45" ht="15.75" x14ac:dyDescent="0.25">
      <c r="A43" s="15">
        <v>31</v>
      </c>
      <c r="B43" s="22" t="s">
        <v>37</v>
      </c>
      <c r="C43" s="17">
        <v>2</v>
      </c>
      <c r="D43" s="18">
        <v>1</v>
      </c>
      <c r="E43" s="18">
        <v>1</v>
      </c>
      <c r="F43" s="18"/>
      <c r="G43" s="18">
        <v>5</v>
      </c>
      <c r="H43" s="18">
        <v>1</v>
      </c>
      <c r="I43" s="18">
        <v>1</v>
      </c>
      <c r="J43" s="18"/>
      <c r="K43" s="18">
        <v>1</v>
      </c>
      <c r="L43" s="18">
        <v>1</v>
      </c>
      <c r="M43" s="18">
        <v>1</v>
      </c>
      <c r="N43" s="18"/>
      <c r="O43" s="18">
        <v>1</v>
      </c>
      <c r="P43" s="18">
        <v>1</v>
      </c>
      <c r="Q43" s="18"/>
      <c r="R43" s="18"/>
      <c r="S43" s="18">
        <v>1</v>
      </c>
      <c r="T43" s="18"/>
      <c r="U43" s="18">
        <v>1</v>
      </c>
      <c r="V43" s="19">
        <v>1</v>
      </c>
      <c r="W43" s="19"/>
      <c r="X43" s="19"/>
      <c r="Y43" s="19">
        <v>1</v>
      </c>
      <c r="Z43" s="19"/>
      <c r="AA43" s="19"/>
      <c r="AB43" s="19"/>
      <c r="AC43" s="19">
        <v>1</v>
      </c>
      <c r="AD43" s="19"/>
      <c r="AE43" s="19"/>
      <c r="AF43" s="19"/>
      <c r="AG43" s="19"/>
      <c r="AH43" s="19"/>
      <c r="AI43" s="19"/>
      <c r="AJ43" s="19"/>
      <c r="AK43" s="19"/>
      <c r="AL43" s="19"/>
      <c r="AM43" s="19"/>
      <c r="AN43" s="19">
        <v>1</v>
      </c>
      <c r="AO43" s="19"/>
      <c r="AP43" s="19"/>
      <c r="AQ43" s="19">
        <v>20</v>
      </c>
      <c r="AR43" s="19"/>
      <c r="AS43" s="19"/>
    </row>
    <row r="44" spans="1:45" ht="15.75" x14ac:dyDescent="0.25">
      <c r="A44" s="15">
        <v>32</v>
      </c>
      <c r="B44" s="23" t="s">
        <v>38</v>
      </c>
      <c r="C44" s="17">
        <v>2</v>
      </c>
      <c r="D44" s="18">
        <v>1</v>
      </c>
      <c r="E44" s="18">
        <v>1</v>
      </c>
      <c r="F44" s="18"/>
      <c r="G44" s="18">
        <v>5</v>
      </c>
      <c r="H44" s="18">
        <v>1</v>
      </c>
      <c r="I44" s="18">
        <v>1</v>
      </c>
      <c r="J44" s="18"/>
      <c r="K44" s="18">
        <v>1</v>
      </c>
      <c r="L44" s="18">
        <v>1</v>
      </c>
      <c r="M44" s="18">
        <v>1</v>
      </c>
      <c r="N44" s="18"/>
      <c r="O44" s="18">
        <v>1</v>
      </c>
      <c r="P44" s="18">
        <v>1</v>
      </c>
      <c r="Q44" s="18"/>
      <c r="R44" s="18"/>
      <c r="S44" s="18">
        <v>1</v>
      </c>
      <c r="T44" s="18"/>
      <c r="U44" s="18">
        <v>1</v>
      </c>
      <c r="V44" s="19">
        <v>1</v>
      </c>
      <c r="W44" s="19"/>
      <c r="X44" s="19"/>
      <c r="Y44" s="19">
        <v>1</v>
      </c>
      <c r="Z44" s="19"/>
      <c r="AA44" s="19"/>
      <c r="AB44" s="19"/>
      <c r="AC44" s="19">
        <v>1</v>
      </c>
      <c r="AD44" s="19"/>
      <c r="AE44" s="19"/>
      <c r="AF44" s="19"/>
      <c r="AG44" s="19"/>
      <c r="AH44" s="19"/>
      <c r="AI44" s="19"/>
      <c r="AJ44" s="19"/>
      <c r="AK44" s="19"/>
      <c r="AL44" s="19"/>
      <c r="AM44" s="19"/>
      <c r="AN44" s="19">
        <v>1</v>
      </c>
      <c r="AO44" s="19"/>
      <c r="AP44" s="19"/>
      <c r="AQ44" s="19"/>
      <c r="AR44" s="19"/>
      <c r="AS44" s="19"/>
    </row>
    <row r="45" spans="1:45" ht="15.75" x14ac:dyDescent="0.25">
      <c r="A45" s="15">
        <v>33</v>
      </c>
      <c r="B45" s="23" t="s">
        <v>39</v>
      </c>
      <c r="C45" s="17">
        <v>2</v>
      </c>
      <c r="D45" s="18">
        <v>1</v>
      </c>
      <c r="E45" s="18">
        <v>1</v>
      </c>
      <c r="F45" s="18"/>
      <c r="G45" s="18">
        <v>5</v>
      </c>
      <c r="H45" s="18">
        <v>1</v>
      </c>
      <c r="I45" s="18">
        <v>1</v>
      </c>
      <c r="J45" s="18"/>
      <c r="K45" s="18">
        <v>1</v>
      </c>
      <c r="L45" s="18">
        <v>1</v>
      </c>
      <c r="M45" s="18">
        <v>1</v>
      </c>
      <c r="N45" s="18"/>
      <c r="O45" s="18">
        <v>1</v>
      </c>
      <c r="P45" s="18">
        <v>1</v>
      </c>
      <c r="Q45" s="18"/>
      <c r="R45" s="18"/>
      <c r="S45" s="18">
        <v>1</v>
      </c>
      <c r="T45" s="18"/>
      <c r="U45" s="18">
        <v>1</v>
      </c>
      <c r="V45" s="19">
        <v>1</v>
      </c>
      <c r="W45" s="19"/>
      <c r="X45" s="19"/>
      <c r="Y45" s="19">
        <v>1</v>
      </c>
      <c r="Z45" s="19"/>
      <c r="AA45" s="19"/>
      <c r="AB45" s="19"/>
      <c r="AC45" s="19">
        <v>1</v>
      </c>
      <c r="AD45" s="19"/>
      <c r="AE45" s="19"/>
      <c r="AF45" s="19"/>
      <c r="AG45" s="19"/>
      <c r="AH45" s="19"/>
      <c r="AI45" s="19"/>
      <c r="AJ45" s="19"/>
      <c r="AK45" s="19"/>
      <c r="AL45" s="19"/>
      <c r="AM45" s="19"/>
      <c r="AN45" s="19">
        <v>1</v>
      </c>
      <c r="AO45" s="19"/>
      <c r="AP45" s="19"/>
      <c r="AQ45" s="19"/>
      <c r="AR45" s="19"/>
      <c r="AS45" s="19"/>
    </row>
    <row r="46" spans="1:45" ht="15.75" x14ac:dyDescent="0.25">
      <c r="A46" s="15">
        <v>34</v>
      </c>
      <c r="B46" s="24" t="s">
        <v>40</v>
      </c>
      <c r="C46" s="17">
        <v>2</v>
      </c>
      <c r="D46" s="18">
        <v>1</v>
      </c>
      <c r="E46" s="18">
        <v>1</v>
      </c>
      <c r="F46" s="18"/>
      <c r="G46" s="18">
        <v>5</v>
      </c>
      <c r="H46" s="18">
        <v>1</v>
      </c>
      <c r="I46" s="18">
        <v>1</v>
      </c>
      <c r="J46" s="18"/>
      <c r="K46" s="18">
        <v>1</v>
      </c>
      <c r="L46" s="18">
        <v>1</v>
      </c>
      <c r="M46" s="18">
        <v>1</v>
      </c>
      <c r="N46" s="18"/>
      <c r="O46" s="18">
        <v>1</v>
      </c>
      <c r="P46" s="18">
        <v>1</v>
      </c>
      <c r="Q46" s="18"/>
      <c r="R46" s="18"/>
      <c r="S46" s="18">
        <v>1</v>
      </c>
      <c r="T46" s="18"/>
      <c r="U46" s="18">
        <v>1</v>
      </c>
      <c r="V46" s="19">
        <v>1</v>
      </c>
      <c r="W46" s="19"/>
      <c r="X46" s="19"/>
      <c r="Y46" s="19">
        <v>1</v>
      </c>
      <c r="Z46" s="19"/>
      <c r="AA46" s="19"/>
      <c r="AB46" s="19"/>
      <c r="AC46" s="19">
        <v>1</v>
      </c>
      <c r="AD46" s="19"/>
      <c r="AE46" s="19"/>
      <c r="AF46" s="19"/>
      <c r="AG46" s="19"/>
      <c r="AH46" s="19"/>
      <c r="AI46" s="19"/>
      <c r="AJ46" s="19"/>
      <c r="AK46" s="19"/>
      <c r="AL46" s="19"/>
      <c r="AM46" s="19"/>
      <c r="AN46" s="19">
        <v>1</v>
      </c>
      <c r="AO46" s="19"/>
      <c r="AP46" s="19"/>
      <c r="AQ46" s="19">
        <v>20</v>
      </c>
      <c r="AR46" s="19"/>
      <c r="AS46" s="19"/>
    </row>
    <row r="47" spans="1:45" ht="15.75" x14ac:dyDescent="0.25">
      <c r="A47" s="15">
        <v>35</v>
      </c>
      <c r="B47" s="24" t="s">
        <v>41</v>
      </c>
      <c r="C47" s="17">
        <v>2</v>
      </c>
      <c r="D47" s="18">
        <v>1</v>
      </c>
      <c r="E47" s="18">
        <v>1</v>
      </c>
      <c r="F47" s="18"/>
      <c r="G47" s="18">
        <v>5</v>
      </c>
      <c r="H47" s="18">
        <v>1</v>
      </c>
      <c r="I47" s="18">
        <v>1</v>
      </c>
      <c r="J47" s="18"/>
      <c r="K47" s="18">
        <v>1</v>
      </c>
      <c r="L47" s="18">
        <v>1</v>
      </c>
      <c r="M47" s="18">
        <v>1</v>
      </c>
      <c r="N47" s="18"/>
      <c r="O47" s="18">
        <v>1</v>
      </c>
      <c r="P47" s="18">
        <v>1</v>
      </c>
      <c r="Q47" s="18"/>
      <c r="R47" s="18"/>
      <c r="S47" s="18">
        <v>1</v>
      </c>
      <c r="T47" s="18"/>
      <c r="U47" s="18">
        <v>1</v>
      </c>
      <c r="V47" s="19">
        <v>1</v>
      </c>
      <c r="W47" s="19"/>
      <c r="X47" s="19"/>
      <c r="Y47" s="19">
        <v>1</v>
      </c>
      <c r="Z47" s="19"/>
      <c r="AA47" s="19"/>
      <c r="AB47" s="19"/>
      <c r="AC47" s="19">
        <v>1</v>
      </c>
      <c r="AD47" s="19"/>
      <c r="AE47" s="19"/>
      <c r="AF47" s="19"/>
      <c r="AG47" s="19"/>
      <c r="AH47" s="19"/>
      <c r="AI47" s="19"/>
      <c r="AJ47" s="19"/>
      <c r="AK47" s="19"/>
      <c r="AL47" s="19"/>
      <c r="AM47" s="19"/>
      <c r="AN47" s="19">
        <v>1</v>
      </c>
      <c r="AO47" s="19"/>
      <c r="AP47" s="19"/>
      <c r="AQ47" s="19"/>
      <c r="AR47" s="19"/>
      <c r="AS47" s="19"/>
    </row>
    <row r="48" spans="1:45" ht="15.75" x14ac:dyDescent="0.25">
      <c r="A48" s="15">
        <v>36</v>
      </c>
      <c r="B48" s="24" t="s">
        <v>42</v>
      </c>
      <c r="C48" s="17">
        <v>2</v>
      </c>
      <c r="D48" s="18">
        <v>1</v>
      </c>
      <c r="E48" s="18">
        <v>1</v>
      </c>
      <c r="F48" s="18"/>
      <c r="G48" s="18">
        <v>5</v>
      </c>
      <c r="H48" s="18">
        <v>1</v>
      </c>
      <c r="I48" s="18">
        <v>1</v>
      </c>
      <c r="J48" s="18"/>
      <c r="K48" s="18">
        <v>1</v>
      </c>
      <c r="L48" s="18">
        <v>1</v>
      </c>
      <c r="M48" s="18">
        <v>1</v>
      </c>
      <c r="N48" s="18"/>
      <c r="O48" s="18">
        <v>1</v>
      </c>
      <c r="P48" s="18">
        <v>1</v>
      </c>
      <c r="Q48" s="18"/>
      <c r="R48" s="18"/>
      <c r="S48" s="18">
        <v>1</v>
      </c>
      <c r="T48" s="18"/>
      <c r="U48" s="18">
        <v>1</v>
      </c>
      <c r="V48" s="19">
        <v>1</v>
      </c>
      <c r="W48" s="19"/>
      <c r="X48" s="19"/>
      <c r="Y48" s="19">
        <v>1</v>
      </c>
      <c r="Z48" s="19"/>
      <c r="AA48" s="19"/>
      <c r="AB48" s="19"/>
      <c r="AC48" s="19">
        <v>1</v>
      </c>
      <c r="AD48" s="19"/>
      <c r="AE48" s="19"/>
      <c r="AF48" s="19"/>
      <c r="AG48" s="19"/>
      <c r="AH48" s="19"/>
      <c r="AI48" s="19"/>
      <c r="AJ48" s="19"/>
      <c r="AK48" s="19"/>
      <c r="AL48" s="19"/>
      <c r="AM48" s="19"/>
      <c r="AN48" s="19">
        <v>1</v>
      </c>
      <c r="AO48" s="19"/>
      <c r="AP48" s="19"/>
      <c r="AQ48" s="19">
        <v>20</v>
      </c>
      <c r="AR48" s="19"/>
      <c r="AS48" s="19"/>
    </row>
    <row r="49" spans="1:45" ht="15.75" x14ac:dyDescent="0.25">
      <c r="A49" s="15">
        <v>37</v>
      </c>
      <c r="B49" s="24" t="s">
        <v>43</v>
      </c>
      <c r="C49" s="17">
        <v>2</v>
      </c>
      <c r="D49" s="18">
        <v>1</v>
      </c>
      <c r="E49" s="18">
        <v>1</v>
      </c>
      <c r="F49" s="18"/>
      <c r="G49" s="18">
        <v>5</v>
      </c>
      <c r="H49" s="18">
        <v>1</v>
      </c>
      <c r="I49" s="18">
        <v>1</v>
      </c>
      <c r="J49" s="18"/>
      <c r="K49" s="18">
        <v>1</v>
      </c>
      <c r="L49" s="18">
        <v>1</v>
      </c>
      <c r="M49" s="18">
        <v>1</v>
      </c>
      <c r="N49" s="18"/>
      <c r="O49" s="18">
        <v>1</v>
      </c>
      <c r="P49" s="18">
        <v>1</v>
      </c>
      <c r="Q49" s="18"/>
      <c r="R49" s="18"/>
      <c r="S49" s="18">
        <v>1</v>
      </c>
      <c r="T49" s="18"/>
      <c r="U49" s="18">
        <v>1</v>
      </c>
      <c r="V49" s="19">
        <v>1</v>
      </c>
      <c r="W49" s="19"/>
      <c r="X49" s="19"/>
      <c r="Y49" s="19">
        <v>1</v>
      </c>
      <c r="Z49" s="19"/>
      <c r="AA49" s="19"/>
      <c r="AB49" s="19"/>
      <c r="AC49" s="19">
        <v>1</v>
      </c>
      <c r="AD49" s="19"/>
      <c r="AE49" s="19"/>
      <c r="AF49" s="19"/>
      <c r="AG49" s="19"/>
      <c r="AH49" s="19"/>
      <c r="AI49" s="19"/>
      <c r="AJ49" s="19"/>
      <c r="AK49" s="19"/>
      <c r="AL49" s="19"/>
      <c r="AM49" s="19"/>
      <c r="AN49" s="19">
        <v>1</v>
      </c>
      <c r="AO49" s="19"/>
      <c r="AP49" s="19"/>
      <c r="AQ49" s="19"/>
      <c r="AR49" s="19"/>
      <c r="AS49" s="19"/>
    </row>
    <row r="50" spans="1:45" ht="15.75" x14ac:dyDescent="0.25">
      <c r="A50" s="15">
        <v>38</v>
      </c>
      <c r="B50" s="24" t="s">
        <v>44</v>
      </c>
      <c r="C50" s="17">
        <v>2</v>
      </c>
      <c r="D50" s="18">
        <v>1</v>
      </c>
      <c r="E50" s="18">
        <v>1</v>
      </c>
      <c r="F50" s="18"/>
      <c r="G50" s="18">
        <v>5</v>
      </c>
      <c r="H50" s="18">
        <v>1</v>
      </c>
      <c r="I50" s="18">
        <v>1</v>
      </c>
      <c r="J50" s="18"/>
      <c r="K50" s="18">
        <v>1</v>
      </c>
      <c r="L50" s="18">
        <v>1</v>
      </c>
      <c r="M50" s="18">
        <v>1</v>
      </c>
      <c r="N50" s="18"/>
      <c r="O50" s="18">
        <v>1</v>
      </c>
      <c r="P50" s="18">
        <v>1</v>
      </c>
      <c r="Q50" s="18"/>
      <c r="R50" s="18"/>
      <c r="S50" s="18">
        <v>1</v>
      </c>
      <c r="T50" s="18"/>
      <c r="U50" s="18">
        <v>1</v>
      </c>
      <c r="V50" s="19">
        <v>1</v>
      </c>
      <c r="W50" s="19"/>
      <c r="X50" s="19"/>
      <c r="Y50" s="19">
        <v>1</v>
      </c>
      <c r="Z50" s="19"/>
      <c r="AA50" s="19"/>
      <c r="AB50" s="19"/>
      <c r="AC50" s="19">
        <v>1</v>
      </c>
      <c r="AD50" s="19"/>
      <c r="AE50" s="19"/>
      <c r="AF50" s="19"/>
      <c r="AG50" s="19"/>
      <c r="AH50" s="19"/>
      <c r="AI50" s="19"/>
      <c r="AJ50" s="19"/>
      <c r="AK50" s="19"/>
      <c r="AL50" s="19"/>
      <c r="AM50" s="19"/>
      <c r="AN50" s="19">
        <v>1</v>
      </c>
      <c r="AO50" s="19"/>
      <c r="AP50" s="19"/>
      <c r="AQ50" s="19"/>
      <c r="AR50" s="19"/>
      <c r="AS50" s="19"/>
    </row>
    <row r="51" spans="1:45" ht="15.75" x14ac:dyDescent="0.25">
      <c r="A51" s="15">
        <v>39</v>
      </c>
      <c r="B51" s="16" t="s">
        <v>45</v>
      </c>
      <c r="C51" s="17">
        <v>2</v>
      </c>
      <c r="D51" s="18">
        <v>1</v>
      </c>
      <c r="E51" s="18">
        <v>1</v>
      </c>
      <c r="F51" s="18"/>
      <c r="G51" s="18">
        <v>5</v>
      </c>
      <c r="H51" s="18">
        <v>1</v>
      </c>
      <c r="I51" s="18">
        <v>1</v>
      </c>
      <c r="J51" s="18"/>
      <c r="K51" s="18">
        <v>1</v>
      </c>
      <c r="L51" s="18">
        <v>1</v>
      </c>
      <c r="M51" s="18">
        <v>1</v>
      </c>
      <c r="N51" s="18"/>
      <c r="O51" s="18">
        <v>1</v>
      </c>
      <c r="P51" s="18">
        <v>1</v>
      </c>
      <c r="Q51" s="18"/>
      <c r="R51" s="18"/>
      <c r="S51" s="18">
        <v>1</v>
      </c>
      <c r="T51" s="18"/>
      <c r="U51" s="18">
        <v>1</v>
      </c>
      <c r="V51" s="19">
        <v>1</v>
      </c>
      <c r="W51" s="19"/>
      <c r="X51" s="19"/>
      <c r="Y51" s="19">
        <v>1</v>
      </c>
      <c r="Z51" s="19"/>
      <c r="AA51" s="19"/>
      <c r="AB51" s="19"/>
      <c r="AC51" s="19">
        <v>1</v>
      </c>
      <c r="AD51" s="19"/>
      <c r="AE51" s="19"/>
      <c r="AF51" s="19"/>
      <c r="AG51" s="19"/>
      <c r="AH51" s="19"/>
      <c r="AI51" s="19"/>
      <c r="AJ51" s="19"/>
      <c r="AK51" s="19"/>
      <c r="AL51" s="19"/>
      <c r="AM51" s="19"/>
      <c r="AN51" s="19">
        <v>1</v>
      </c>
      <c r="AO51" s="19"/>
      <c r="AP51" s="19"/>
      <c r="AQ51" s="19">
        <v>20</v>
      </c>
      <c r="AR51" s="19"/>
      <c r="AS51" s="19"/>
    </row>
    <row r="52" spans="1:45" ht="18.75" x14ac:dyDescent="0.25">
      <c r="A52" s="25"/>
      <c r="B52" s="26" t="s">
        <v>46</v>
      </c>
      <c r="C52" s="27">
        <f t="shared" ref="C52:AS52" si="0">SUM(C13:C51)</f>
        <v>78</v>
      </c>
      <c r="D52" s="27">
        <f t="shared" si="0"/>
        <v>39</v>
      </c>
      <c r="E52" s="27">
        <f t="shared" si="0"/>
        <v>39</v>
      </c>
      <c r="F52" s="27">
        <f t="shared" si="0"/>
        <v>0</v>
      </c>
      <c r="G52" s="27">
        <f t="shared" si="0"/>
        <v>195</v>
      </c>
      <c r="H52" s="27">
        <f t="shared" si="0"/>
        <v>39</v>
      </c>
      <c r="I52" s="27">
        <f t="shared" si="0"/>
        <v>39</v>
      </c>
      <c r="J52" s="27">
        <f t="shared" si="0"/>
        <v>0</v>
      </c>
      <c r="K52" s="27">
        <f t="shared" si="0"/>
        <v>39</v>
      </c>
      <c r="L52" s="27">
        <f t="shared" si="0"/>
        <v>39</v>
      </c>
      <c r="M52" s="27">
        <f t="shared" si="0"/>
        <v>39</v>
      </c>
      <c r="N52" s="27">
        <f t="shared" si="0"/>
        <v>0</v>
      </c>
      <c r="O52" s="27">
        <f t="shared" si="0"/>
        <v>39</v>
      </c>
      <c r="P52" s="27">
        <f t="shared" si="0"/>
        <v>39</v>
      </c>
      <c r="Q52" s="27">
        <f t="shared" si="0"/>
        <v>0</v>
      </c>
      <c r="R52" s="27">
        <f t="shared" si="0"/>
        <v>0</v>
      </c>
      <c r="S52" s="27">
        <f t="shared" si="0"/>
        <v>39</v>
      </c>
      <c r="T52" s="27">
        <f t="shared" si="0"/>
        <v>0</v>
      </c>
      <c r="U52" s="27">
        <f t="shared" si="0"/>
        <v>39</v>
      </c>
      <c r="V52" s="27">
        <f t="shared" si="0"/>
        <v>39</v>
      </c>
      <c r="W52" s="27">
        <f t="shared" si="0"/>
        <v>0</v>
      </c>
      <c r="X52" s="27">
        <f t="shared" si="0"/>
        <v>0</v>
      </c>
      <c r="Y52" s="27">
        <f t="shared" si="0"/>
        <v>39</v>
      </c>
      <c r="Z52" s="27">
        <f t="shared" si="0"/>
        <v>0</v>
      </c>
      <c r="AA52" s="27">
        <f t="shared" si="0"/>
        <v>0</v>
      </c>
      <c r="AB52" s="27">
        <f t="shared" si="0"/>
        <v>0</v>
      </c>
      <c r="AC52" s="27">
        <f t="shared" si="0"/>
        <v>39</v>
      </c>
      <c r="AD52" s="27">
        <f t="shared" si="0"/>
        <v>0</v>
      </c>
      <c r="AE52" s="27">
        <f t="shared" si="0"/>
        <v>0</v>
      </c>
      <c r="AF52" s="27">
        <f t="shared" si="0"/>
        <v>0</v>
      </c>
      <c r="AG52" s="27">
        <f t="shared" si="0"/>
        <v>0</v>
      </c>
      <c r="AH52" s="27">
        <f t="shared" si="0"/>
        <v>0</v>
      </c>
      <c r="AI52" s="27">
        <f t="shared" si="0"/>
        <v>0</v>
      </c>
      <c r="AJ52" s="27">
        <f t="shared" si="0"/>
        <v>0</v>
      </c>
      <c r="AK52" s="27">
        <f t="shared" si="0"/>
        <v>0</v>
      </c>
      <c r="AL52" s="27">
        <f t="shared" si="0"/>
        <v>0</v>
      </c>
      <c r="AM52" s="27">
        <f t="shared" si="0"/>
        <v>0</v>
      </c>
      <c r="AN52" s="27">
        <f t="shared" si="0"/>
        <v>39</v>
      </c>
      <c r="AO52" s="27">
        <f t="shared" si="0"/>
        <v>0</v>
      </c>
      <c r="AP52" s="27">
        <f t="shared" si="0"/>
        <v>0</v>
      </c>
      <c r="AQ52" s="27">
        <f t="shared" si="0"/>
        <v>500</v>
      </c>
      <c r="AR52" s="27">
        <f t="shared" si="0"/>
        <v>0</v>
      </c>
      <c r="AS52" s="27">
        <f t="shared" si="0"/>
        <v>0</v>
      </c>
    </row>
    <row r="56" spans="1:45" ht="15.75" x14ac:dyDescent="0.25">
      <c r="B56" s="28" t="s">
        <v>47</v>
      </c>
      <c r="C56" s="29" t="s">
        <v>48</v>
      </c>
      <c r="I56" s="30"/>
      <c r="J56" s="30"/>
      <c r="K56" s="30"/>
      <c r="L56" s="30"/>
      <c r="M56" s="30"/>
      <c r="N56" s="30"/>
      <c r="O56" s="30"/>
      <c r="R56" s="31"/>
      <c r="S56" s="31"/>
      <c r="T56" s="31"/>
      <c r="U56" s="31"/>
      <c r="V56" s="31"/>
      <c r="W56" s="31"/>
      <c r="X56" s="31"/>
    </row>
    <row r="57" spans="1:45" ht="15.75" x14ac:dyDescent="0.25">
      <c r="C57"/>
      <c r="K57" s="32" t="s">
        <v>49</v>
      </c>
      <c r="U57" s="29" t="s">
        <v>50</v>
      </c>
    </row>
  </sheetData>
  <mergeCells count="7">
    <mergeCell ref="A6:AS6"/>
    <mergeCell ref="A7:AS7"/>
    <mergeCell ref="S8:T8"/>
    <mergeCell ref="U8:V8"/>
    <mergeCell ref="A10:A11"/>
    <mergeCell ref="B10:B11"/>
    <mergeCell ref="C10:AS10"/>
  </mergeCells>
  <conditionalFormatting sqref="B43">
    <cfRule type="duplicateValues" dxfId="7" priority="3"/>
    <cfRule type="duplicateValues" dxfId="6" priority="4"/>
  </conditionalFormatting>
  <conditionalFormatting sqref="B44">
    <cfRule type="duplicateValues" dxfId="5" priority="1"/>
    <cfRule type="duplicateValues" dxfId="4" priority="2"/>
  </conditionalFormatting>
  <conditionalFormatting sqref="B45">
    <cfRule type="duplicateValues" dxfId="3" priority="7"/>
    <cfRule type="duplicateValues" dxfId="2" priority="8"/>
  </conditionalFormatting>
  <conditionalFormatting sqref="B51 B13:B42">
    <cfRule type="duplicateValues" dxfId="1" priority="5"/>
    <cfRule type="duplicateValues" dxfId="0" priority="6"/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2026-03-01T10:46:47Z</dcterms:created>
  <dcterms:modified xsi:type="dcterms:W3CDTF">2026-03-01T10:47:57Z</dcterms:modified>
</cp:coreProperties>
</file>