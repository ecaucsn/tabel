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mainpage\общая\Бондаренко\ЗАЯВКИ ПАЙКИ 2024\2026\Февраль\"/>
    </mc:Choice>
  </mc:AlternateContent>
  <xr:revisionPtr revIDLastSave="0" documentId="13_ncr:1_{FBF1E7CB-1F8B-44DA-990F-D65684D53E07}" xr6:coauthVersionLast="47" xr6:coauthVersionMax="47" xr10:uidLastSave="{00000000-0000-0000-0000-000000000000}"/>
  <bookViews>
    <workbookView xWindow="-120" yWindow="-120" windowWidth="29040" windowHeight="15720" tabRatio="807" activeTab="2" xr2:uid="{00000000-000D-0000-FFFF-FFFF00000000}"/>
  </bookViews>
  <sheets>
    <sheet name="Справочник-не смотрим!" sheetId="25" r:id="rId1"/>
    <sheet name="ЗАЯВКА-не смотрим!" sheetId="1" state="hidden" r:id="rId2"/>
    <sheet name="Сводная ведомость" sheetId="6" r:id="rId3"/>
    <sheet name="1-П" sheetId="2" r:id="rId4"/>
    <sheet name="1-С" sheetId="7" r:id="rId5"/>
    <sheet name="2-П" sheetId="16" r:id="rId6"/>
    <sheet name="2-С" sheetId="17" r:id="rId7"/>
    <sheet name="2-СД" sheetId="18" r:id="rId8"/>
    <sheet name="3-П" sheetId="8" r:id="rId9"/>
    <sheet name="3-С" sheetId="9" r:id="rId10"/>
    <sheet name="3-СД" sheetId="10" r:id="rId11"/>
    <sheet name="СРО-П" sheetId="19" r:id="rId12"/>
    <sheet name="СРО-С" sheetId="21" r:id="rId13"/>
    <sheet name="СРО-СД" sheetId="22" r:id="rId14"/>
    <sheet name="ОМ-ЩП" sheetId="11" r:id="rId15"/>
    <sheet name="ОМ-П" sheetId="13" r:id="rId16"/>
    <sheet name="ОМ-С" sheetId="14" r:id="rId17"/>
    <sheet name="ОМ-СД" sheetId="15" r:id="rId18"/>
    <sheet name="ППБ-П" sheetId="23" r:id="rId19"/>
    <sheet name="Общий список проверка на повтор" sheetId="26" r:id="rId20"/>
    <sheet name="ППБ-С" sheetId="24" state="hidden" r:id="rId21"/>
  </sheets>
  <externalReferences>
    <externalReference r:id="rId22"/>
    <externalReference r:id="rId23"/>
  </externalReferences>
  <definedNames>
    <definedName name="_xlnm._FilterDatabase" localSheetId="1" hidden="1">'ЗАЯВКА-не смотрим!'!$B$3:$B$47</definedName>
    <definedName name="_xlnm.Print_Area" localSheetId="3">'1-П'!$A$1:$AS$57</definedName>
    <definedName name="_xlnm.Print_Area" localSheetId="4">'1-С'!$A$1:$AS$60</definedName>
    <definedName name="_xlnm.Print_Area" localSheetId="5">'2-П'!$A$1:$AS$84</definedName>
    <definedName name="_xlnm.Print_Area" localSheetId="6">'2-С'!$A$1:$AS$53</definedName>
    <definedName name="_xlnm.Print_Area" localSheetId="7">'2-СД'!$A$1:$AS$25</definedName>
    <definedName name="_xlnm.Print_Area" localSheetId="8">'3-П'!$A$1:$AS$74</definedName>
    <definedName name="_xlnm.Print_Area" localSheetId="9">'3-С'!$A$1:$AS$74</definedName>
    <definedName name="_xlnm.Print_Area" localSheetId="10">'3-СД'!$A$1:$AS$23</definedName>
    <definedName name="_xlnm.Print_Area" localSheetId="15">'ОМ-П'!$A$1:$AS$46</definedName>
    <definedName name="_xlnm.Print_Area" localSheetId="16">'ОМ-С'!$A$1:$AS$34</definedName>
    <definedName name="_xlnm.Print_Area" localSheetId="17">'ОМ-СД'!$A$1:$AS$26</definedName>
    <definedName name="_xlnm.Print_Area" localSheetId="14">'ОМ-ЩП'!$A$1:$AS$70</definedName>
    <definedName name="_xlnm.Print_Area" localSheetId="18">'ППБ-П'!$A$1:$AS$28</definedName>
    <definedName name="_xlnm.Print_Area" localSheetId="20">'ППБ-С'!$A$1:$AS$22</definedName>
    <definedName name="_xlnm.Print_Area" localSheetId="2">'Сводная ведомость'!$A$1:$AT$35</definedName>
    <definedName name="_xlnm.Print_Area" localSheetId="11">'СРО-П'!$A$1:$AS$56</definedName>
    <definedName name="_xlnm.Print_Area" localSheetId="12">'СРО-С'!$A$1:$AS$51</definedName>
    <definedName name="_xlnm.Print_Area" localSheetId="13">'СРО-СД'!$A$1:$AS$25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" i="15" l="1"/>
  <c r="U12" i="14"/>
  <c r="U12" i="13"/>
  <c r="T12" i="11"/>
  <c r="U12" i="7"/>
  <c r="C25" i="6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C19" i="10"/>
  <c r="C22" i="6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AR20" i="18"/>
  <c r="AS20" i="18"/>
  <c r="C20" i="18"/>
  <c r="C32" i="6" l="1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R21" i="15"/>
  <c r="S21" i="15"/>
  <c r="T21" i="15"/>
  <c r="U21" i="15"/>
  <c r="V21" i="15"/>
  <c r="W21" i="15"/>
  <c r="X21" i="15"/>
  <c r="Y21" i="15"/>
  <c r="Z21" i="15"/>
  <c r="AA21" i="15"/>
  <c r="AB21" i="15"/>
  <c r="AC21" i="15"/>
  <c r="AD21" i="15"/>
  <c r="AE21" i="15"/>
  <c r="AF21" i="15"/>
  <c r="AG21" i="15"/>
  <c r="AH21" i="15"/>
  <c r="AI21" i="15"/>
  <c r="AJ21" i="15"/>
  <c r="AK21" i="15"/>
  <c r="AL21" i="15"/>
  <c r="AM21" i="15"/>
  <c r="AN21" i="15"/>
  <c r="AO21" i="15"/>
  <c r="AP21" i="15"/>
  <c r="AQ21" i="15"/>
  <c r="AR21" i="15"/>
  <c r="AS21" i="15"/>
  <c r="C21" i="15"/>
  <c r="D46" i="21" l="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K46" i="21"/>
  <c r="AL46" i="21"/>
  <c r="AM46" i="21"/>
  <c r="AN46" i="21"/>
  <c r="AO46" i="21"/>
  <c r="AP46" i="21"/>
  <c r="AQ46" i="21"/>
  <c r="AR46" i="21"/>
  <c r="AS46" i="21"/>
  <c r="C46" i="21"/>
  <c r="C20" i="6" l="1"/>
  <c r="C19" i="6"/>
  <c r="C28" i="6"/>
  <c r="D20" i="22"/>
  <c r="E20" i="22"/>
  <c r="F20" i="22"/>
  <c r="G20" i="22"/>
  <c r="H20" i="22"/>
  <c r="I20" i="22"/>
  <c r="J20" i="22"/>
  <c r="K20" i="22"/>
  <c r="L20" i="22"/>
  <c r="M20" i="22"/>
  <c r="N20" i="22"/>
  <c r="O20" i="22"/>
  <c r="P20" i="22"/>
  <c r="Q20" i="22"/>
  <c r="R20" i="22"/>
  <c r="S20" i="22"/>
  <c r="T20" i="22"/>
  <c r="U20" i="22"/>
  <c r="V20" i="22"/>
  <c r="W20" i="22"/>
  <c r="X20" i="22"/>
  <c r="Y20" i="22"/>
  <c r="Z20" i="22"/>
  <c r="AA20" i="22"/>
  <c r="AB20" i="22"/>
  <c r="AC20" i="22"/>
  <c r="AD20" i="22"/>
  <c r="AE20" i="22"/>
  <c r="AF20" i="22"/>
  <c r="AG20" i="22"/>
  <c r="AH20" i="22"/>
  <c r="AI20" i="22"/>
  <c r="AJ20" i="22"/>
  <c r="AK20" i="22"/>
  <c r="AL20" i="22"/>
  <c r="AM20" i="22"/>
  <c r="AN20" i="22"/>
  <c r="AO20" i="22"/>
  <c r="AP20" i="22"/>
  <c r="AQ20" i="22"/>
  <c r="AR20" i="22"/>
  <c r="AS20" i="22"/>
  <c r="C20" i="22"/>
  <c r="U8" i="2" l="1"/>
  <c r="C23" i="6" l="1"/>
  <c r="F25" i="6" l="1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Y25" i="6"/>
  <c r="Z25" i="6"/>
  <c r="AA25" i="6"/>
  <c r="AB25" i="6"/>
  <c r="AC25" i="6"/>
  <c r="AD25" i="6"/>
  <c r="AE25" i="6"/>
  <c r="AF25" i="6"/>
  <c r="AG25" i="6"/>
  <c r="AI25" i="6"/>
  <c r="AJ25" i="6"/>
  <c r="AK25" i="6"/>
  <c r="AL25" i="6"/>
  <c r="AM25" i="6"/>
  <c r="AN25" i="6"/>
  <c r="AO25" i="6"/>
  <c r="AP25" i="6"/>
  <c r="AS25" i="6"/>
  <c r="D25" i="6"/>
  <c r="C21" i="6"/>
  <c r="E25" i="6"/>
  <c r="X25" i="6"/>
  <c r="AH25" i="6"/>
  <c r="AQ25" i="6"/>
  <c r="AR25" i="6"/>
  <c r="AT25" i="6"/>
  <c r="C29" i="6" l="1"/>
  <c r="C33" i="6" l="1"/>
  <c r="D29" i="14" l="1"/>
  <c r="E31" i="6" s="1"/>
  <c r="E29" i="14"/>
  <c r="F31" i="6" s="1"/>
  <c r="F29" i="14"/>
  <c r="G31" i="6" s="1"/>
  <c r="G29" i="14"/>
  <c r="H31" i="6" s="1"/>
  <c r="H29" i="14"/>
  <c r="I31" i="6" s="1"/>
  <c r="I29" i="14"/>
  <c r="J31" i="6" s="1"/>
  <c r="J29" i="14"/>
  <c r="K31" i="6" s="1"/>
  <c r="K29" i="14"/>
  <c r="L31" i="6" s="1"/>
  <c r="L29" i="14"/>
  <c r="M31" i="6" s="1"/>
  <c r="M29" i="14"/>
  <c r="N31" i="6" s="1"/>
  <c r="N29" i="14"/>
  <c r="O31" i="6" s="1"/>
  <c r="O29" i="14"/>
  <c r="P31" i="6" s="1"/>
  <c r="P29" i="14"/>
  <c r="Q31" i="6" s="1"/>
  <c r="Q29" i="14"/>
  <c r="R31" i="6" s="1"/>
  <c r="R29" i="14"/>
  <c r="S31" i="6" s="1"/>
  <c r="S29" i="14"/>
  <c r="T31" i="6" s="1"/>
  <c r="T29" i="14"/>
  <c r="U31" i="6" s="1"/>
  <c r="U29" i="14"/>
  <c r="V31" i="6" s="1"/>
  <c r="V29" i="14"/>
  <c r="W31" i="6" s="1"/>
  <c r="W29" i="14"/>
  <c r="X31" i="6" s="1"/>
  <c r="X29" i="14"/>
  <c r="Y31" i="6" s="1"/>
  <c r="Y29" i="14"/>
  <c r="Z31" i="6" s="1"/>
  <c r="Z29" i="14"/>
  <c r="AA31" i="6" s="1"/>
  <c r="AA29" i="14"/>
  <c r="AB31" i="6" s="1"/>
  <c r="AB29" i="14"/>
  <c r="AC31" i="6" s="1"/>
  <c r="AC29" i="14"/>
  <c r="AD31" i="6" s="1"/>
  <c r="AD29" i="14"/>
  <c r="AE31" i="6" s="1"/>
  <c r="AE29" i="14"/>
  <c r="AF31" i="6" s="1"/>
  <c r="AF29" i="14"/>
  <c r="AG31" i="6" s="1"/>
  <c r="AG29" i="14"/>
  <c r="AH31" i="6" s="1"/>
  <c r="AH29" i="14"/>
  <c r="AI31" i="6" s="1"/>
  <c r="AI29" i="14"/>
  <c r="AJ31" i="6" s="1"/>
  <c r="AJ29" i="14"/>
  <c r="AK31" i="6" s="1"/>
  <c r="AK29" i="14"/>
  <c r="AL31" i="6" s="1"/>
  <c r="AL29" i="14"/>
  <c r="AM31" i="6" s="1"/>
  <c r="AM29" i="14"/>
  <c r="AN31" i="6" s="1"/>
  <c r="AN29" i="14"/>
  <c r="AO31" i="6" s="1"/>
  <c r="AO29" i="14"/>
  <c r="AP31" i="6" s="1"/>
  <c r="AP29" i="14"/>
  <c r="AQ31" i="6" s="1"/>
  <c r="AQ29" i="14"/>
  <c r="AR31" i="6" s="1"/>
  <c r="AR29" i="14"/>
  <c r="AS31" i="6" s="1"/>
  <c r="AS29" i="14"/>
  <c r="AT31" i="6" s="1"/>
  <c r="D41" i="13"/>
  <c r="E30" i="6" s="1"/>
  <c r="E41" i="13"/>
  <c r="F30" i="6" s="1"/>
  <c r="F41" i="13"/>
  <c r="G30" i="6" s="1"/>
  <c r="G41" i="13"/>
  <c r="H30" i="6" s="1"/>
  <c r="H41" i="13"/>
  <c r="I30" i="6" s="1"/>
  <c r="I41" i="13"/>
  <c r="J30" i="6" s="1"/>
  <c r="J41" i="13"/>
  <c r="K30" i="6" s="1"/>
  <c r="K41" i="13"/>
  <c r="L30" i="6" s="1"/>
  <c r="L41" i="13"/>
  <c r="M30" i="6" s="1"/>
  <c r="M41" i="13"/>
  <c r="N30" i="6" s="1"/>
  <c r="N41" i="13"/>
  <c r="O30" i="6" s="1"/>
  <c r="O41" i="13"/>
  <c r="P30" i="6" s="1"/>
  <c r="P41" i="13"/>
  <c r="Q30" i="6" s="1"/>
  <c r="Q41" i="13"/>
  <c r="R30" i="6" s="1"/>
  <c r="R41" i="13"/>
  <c r="S30" i="6" s="1"/>
  <c r="S41" i="13"/>
  <c r="T30" i="6" s="1"/>
  <c r="T41" i="13"/>
  <c r="U30" i="6" s="1"/>
  <c r="U41" i="13"/>
  <c r="V30" i="6" s="1"/>
  <c r="V41" i="13"/>
  <c r="W30" i="6" s="1"/>
  <c r="W41" i="13"/>
  <c r="X30" i="6" s="1"/>
  <c r="X41" i="13"/>
  <c r="Y30" i="6" s="1"/>
  <c r="Y41" i="13"/>
  <c r="Z30" i="6" s="1"/>
  <c r="Z41" i="13"/>
  <c r="AA30" i="6" s="1"/>
  <c r="AA41" i="13"/>
  <c r="AB30" i="6" s="1"/>
  <c r="AB41" i="13"/>
  <c r="AC30" i="6" s="1"/>
  <c r="AC41" i="13"/>
  <c r="AD30" i="6" s="1"/>
  <c r="AD41" i="13"/>
  <c r="AE30" i="6" s="1"/>
  <c r="AE41" i="13"/>
  <c r="AF30" i="6" s="1"/>
  <c r="AF41" i="13"/>
  <c r="AG30" i="6" s="1"/>
  <c r="AG41" i="13"/>
  <c r="AH30" i="6" s="1"/>
  <c r="AH41" i="13"/>
  <c r="AI30" i="6" s="1"/>
  <c r="AI41" i="13"/>
  <c r="AJ30" i="6" s="1"/>
  <c r="AJ41" i="13"/>
  <c r="AK30" i="6" s="1"/>
  <c r="AK41" i="13"/>
  <c r="AL30" i="6" s="1"/>
  <c r="AL41" i="13"/>
  <c r="AM30" i="6" s="1"/>
  <c r="AM41" i="13"/>
  <c r="AN30" i="6" s="1"/>
  <c r="AN41" i="13"/>
  <c r="AO30" i="6" s="1"/>
  <c r="AO41" i="13"/>
  <c r="AP30" i="6" s="1"/>
  <c r="AP41" i="13"/>
  <c r="AQ30" i="6" s="1"/>
  <c r="AQ41" i="13"/>
  <c r="AR30" i="6" s="1"/>
  <c r="AR41" i="13"/>
  <c r="AS30" i="6" s="1"/>
  <c r="AS41" i="13"/>
  <c r="AT30" i="6" s="1"/>
  <c r="D65" i="11"/>
  <c r="E29" i="6" s="1"/>
  <c r="E65" i="11"/>
  <c r="F29" i="6" s="1"/>
  <c r="F65" i="11"/>
  <c r="G29" i="6" s="1"/>
  <c r="G65" i="11"/>
  <c r="H29" i="6" s="1"/>
  <c r="H65" i="11"/>
  <c r="I29" i="6" s="1"/>
  <c r="I65" i="11"/>
  <c r="J29" i="6" s="1"/>
  <c r="J65" i="11"/>
  <c r="K29" i="6" s="1"/>
  <c r="K65" i="11"/>
  <c r="L29" i="6" s="1"/>
  <c r="L65" i="11"/>
  <c r="M29" i="6" s="1"/>
  <c r="M65" i="11"/>
  <c r="N29" i="6" s="1"/>
  <c r="N65" i="11"/>
  <c r="O29" i="6" s="1"/>
  <c r="O65" i="11"/>
  <c r="P29" i="6" s="1"/>
  <c r="P65" i="11"/>
  <c r="Q29" i="6" s="1"/>
  <c r="Q65" i="11"/>
  <c r="R29" i="6" s="1"/>
  <c r="R65" i="11"/>
  <c r="S29" i="6" s="1"/>
  <c r="S65" i="11"/>
  <c r="T29" i="6" s="1"/>
  <c r="T65" i="11"/>
  <c r="U29" i="6" s="1"/>
  <c r="U65" i="11"/>
  <c r="V29" i="6" s="1"/>
  <c r="V65" i="11"/>
  <c r="W29" i="6" s="1"/>
  <c r="W65" i="11"/>
  <c r="X29" i="6" s="1"/>
  <c r="X65" i="11"/>
  <c r="Y29" i="6" s="1"/>
  <c r="Y65" i="11"/>
  <c r="Z29" i="6" s="1"/>
  <c r="Z65" i="11"/>
  <c r="AA29" i="6" s="1"/>
  <c r="AA65" i="11"/>
  <c r="AB29" i="6" s="1"/>
  <c r="AB65" i="11"/>
  <c r="AC29" i="6" s="1"/>
  <c r="AC65" i="11"/>
  <c r="AD29" i="6" s="1"/>
  <c r="AD65" i="11"/>
  <c r="AE29" i="6" s="1"/>
  <c r="AE65" i="11"/>
  <c r="AF29" i="6" s="1"/>
  <c r="AF65" i="11"/>
  <c r="AG29" i="6" s="1"/>
  <c r="AG65" i="11"/>
  <c r="AH29" i="6" s="1"/>
  <c r="AH65" i="11"/>
  <c r="AI29" i="6" s="1"/>
  <c r="AI65" i="11"/>
  <c r="AJ29" i="6" s="1"/>
  <c r="AJ65" i="11"/>
  <c r="AK29" i="6" s="1"/>
  <c r="AK65" i="11"/>
  <c r="AL29" i="6" s="1"/>
  <c r="AL65" i="11"/>
  <c r="AM29" i="6" s="1"/>
  <c r="AM65" i="11"/>
  <c r="AN29" i="6" s="1"/>
  <c r="AN65" i="11"/>
  <c r="AO29" i="6" s="1"/>
  <c r="AO65" i="11"/>
  <c r="AP29" i="6" s="1"/>
  <c r="AP65" i="11"/>
  <c r="AQ29" i="6" s="1"/>
  <c r="AQ65" i="11"/>
  <c r="AR29" i="6" s="1"/>
  <c r="AR65" i="11"/>
  <c r="AS29" i="6" s="1"/>
  <c r="AS65" i="11"/>
  <c r="AT29" i="6" s="1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D69" i="9"/>
  <c r="E24" i="6" s="1"/>
  <c r="E69" i="9"/>
  <c r="F24" i="6" s="1"/>
  <c r="F69" i="9"/>
  <c r="G24" i="6" s="1"/>
  <c r="G69" i="9"/>
  <c r="H24" i="6" s="1"/>
  <c r="H69" i="9"/>
  <c r="I24" i="6" s="1"/>
  <c r="I69" i="9"/>
  <c r="J24" i="6" s="1"/>
  <c r="J69" i="9"/>
  <c r="K24" i="6" s="1"/>
  <c r="K69" i="9"/>
  <c r="L24" i="6" s="1"/>
  <c r="L69" i="9"/>
  <c r="M24" i="6" s="1"/>
  <c r="M69" i="9"/>
  <c r="N24" i="6" s="1"/>
  <c r="N69" i="9"/>
  <c r="O24" i="6" s="1"/>
  <c r="O69" i="9"/>
  <c r="P24" i="6" s="1"/>
  <c r="P69" i="9"/>
  <c r="Q24" i="6" s="1"/>
  <c r="Q69" i="9"/>
  <c r="R24" i="6" s="1"/>
  <c r="R69" i="9"/>
  <c r="S24" i="6" s="1"/>
  <c r="S69" i="9"/>
  <c r="T24" i="6" s="1"/>
  <c r="T69" i="9"/>
  <c r="U24" i="6" s="1"/>
  <c r="U69" i="9"/>
  <c r="V24" i="6" s="1"/>
  <c r="V69" i="9"/>
  <c r="W24" i="6" s="1"/>
  <c r="W69" i="9"/>
  <c r="X24" i="6" s="1"/>
  <c r="X69" i="9"/>
  <c r="Y24" i="6" s="1"/>
  <c r="Y69" i="9"/>
  <c r="Z24" i="6" s="1"/>
  <c r="Z69" i="9"/>
  <c r="AA24" i="6" s="1"/>
  <c r="AA69" i="9"/>
  <c r="AB24" i="6" s="1"/>
  <c r="AB69" i="9"/>
  <c r="AC24" i="6" s="1"/>
  <c r="AC69" i="9"/>
  <c r="AD24" i="6" s="1"/>
  <c r="AD69" i="9"/>
  <c r="AE24" i="6" s="1"/>
  <c r="AE69" i="9"/>
  <c r="AF24" i="6" s="1"/>
  <c r="AF69" i="9"/>
  <c r="AG24" i="6" s="1"/>
  <c r="AG69" i="9"/>
  <c r="AH24" i="6" s="1"/>
  <c r="AH69" i="9"/>
  <c r="AI24" i="6" s="1"/>
  <c r="AI69" i="9"/>
  <c r="AJ24" i="6" s="1"/>
  <c r="AJ69" i="9"/>
  <c r="AK24" i="6" s="1"/>
  <c r="AK69" i="9"/>
  <c r="AL24" i="6" s="1"/>
  <c r="AL69" i="9"/>
  <c r="AM24" i="6" s="1"/>
  <c r="AM69" i="9"/>
  <c r="AN24" i="6" s="1"/>
  <c r="AN69" i="9"/>
  <c r="AO24" i="6" s="1"/>
  <c r="AO69" i="9"/>
  <c r="AP24" i="6" s="1"/>
  <c r="AP69" i="9"/>
  <c r="AQ24" i="6" s="1"/>
  <c r="AQ69" i="9"/>
  <c r="AR24" i="6" s="1"/>
  <c r="AR69" i="9"/>
  <c r="AS24" i="6" s="1"/>
  <c r="AS69" i="9"/>
  <c r="AT24" i="6" s="1"/>
  <c r="D69" i="8"/>
  <c r="E23" i="6" s="1"/>
  <c r="E69" i="8"/>
  <c r="F23" i="6" s="1"/>
  <c r="F69" i="8"/>
  <c r="G23" i="6" s="1"/>
  <c r="G69" i="8"/>
  <c r="H23" i="6" s="1"/>
  <c r="H69" i="8"/>
  <c r="I23" i="6" s="1"/>
  <c r="I69" i="8"/>
  <c r="J23" i="6" s="1"/>
  <c r="J69" i="8"/>
  <c r="K23" i="6" s="1"/>
  <c r="K69" i="8"/>
  <c r="L23" i="6" s="1"/>
  <c r="L69" i="8"/>
  <c r="M23" i="6" s="1"/>
  <c r="M69" i="8"/>
  <c r="N23" i="6" s="1"/>
  <c r="N69" i="8"/>
  <c r="O23" i="6" s="1"/>
  <c r="O69" i="8"/>
  <c r="P23" i="6" s="1"/>
  <c r="P69" i="8"/>
  <c r="Q23" i="6" s="1"/>
  <c r="Q69" i="8"/>
  <c r="R23" i="6" s="1"/>
  <c r="R69" i="8"/>
  <c r="S23" i="6" s="1"/>
  <c r="S69" i="8"/>
  <c r="T23" i="6" s="1"/>
  <c r="T69" i="8"/>
  <c r="U23" i="6" s="1"/>
  <c r="U69" i="8"/>
  <c r="V23" i="6" s="1"/>
  <c r="V69" i="8"/>
  <c r="W23" i="6" s="1"/>
  <c r="W69" i="8"/>
  <c r="X23" i="6" s="1"/>
  <c r="X69" i="8"/>
  <c r="Y23" i="6" s="1"/>
  <c r="Y69" i="8"/>
  <c r="Z23" i="6" s="1"/>
  <c r="Z69" i="8"/>
  <c r="AA23" i="6" s="1"/>
  <c r="AA69" i="8"/>
  <c r="AB23" i="6" s="1"/>
  <c r="AB69" i="8"/>
  <c r="AC23" i="6" s="1"/>
  <c r="AC69" i="8"/>
  <c r="AD23" i="6" s="1"/>
  <c r="AD69" i="8"/>
  <c r="AE23" i="6" s="1"/>
  <c r="AE69" i="8"/>
  <c r="AF23" i="6" s="1"/>
  <c r="AF69" i="8"/>
  <c r="AG23" i="6" s="1"/>
  <c r="AG69" i="8"/>
  <c r="AH23" i="6" s="1"/>
  <c r="AH69" i="8"/>
  <c r="AI23" i="6" s="1"/>
  <c r="AI69" i="8"/>
  <c r="AJ23" i="6" s="1"/>
  <c r="AJ69" i="8"/>
  <c r="AK23" i="6" s="1"/>
  <c r="AK69" i="8"/>
  <c r="AL23" i="6" s="1"/>
  <c r="AL69" i="8"/>
  <c r="AM23" i="6" s="1"/>
  <c r="AM69" i="8"/>
  <c r="AN23" i="6" s="1"/>
  <c r="AN69" i="8"/>
  <c r="AO23" i="6" s="1"/>
  <c r="AO69" i="8"/>
  <c r="AP23" i="6" s="1"/>
  <c r="AP69" i="8"/>
  <c r="AQ23" i="6" s="1"/>
  <c r="AQ69" i="8"/>
  <c r="AR23" i="6" s="1"/>
  <c r="AR69" i="8"/>
  <c r="AS23" i="6" s="1"/>
  <c r="AS69" i="8"/>
  <c r="AT23" i="6" s="1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D51" i="19"/>
  <c r="E26" i="6" s="1"/>
  <c r="E51" i="19"/>
  <c r="F26" i="6" s="1"/>
  <c r="F51" i="19"/>
  <c r="G26" i="6" s="1"/>
  <c r="G51" i="19"/>
  <c r="H26" i="6" s="1"/>
  <c r="H51" i="19"/>
  <c r="I26" i="6" s="1"/>
  <c r="I51" i="19"/>
  <c r="J26" i="6" s="1"/>
  <c r="J51" i="19"/>
  <c r="K26" i="6" s="1"/>
  <c r="K51" i="19"/>
  <c r="L26" i="6" s="1"/>
  <c r="L51" i="19"/>
  <c r="M26" i="6" s="1"/>
  <c r="M51" i="19"/>
  <c r="N26" i="6" s="1"/>
  <c r="N51" i="19"/>
  <c r="O26" i="6" s="1"/>
  <c r="O51" i="19"/>
  <c r="P26" i="6" s="1"/>
  <c r="P51" i="19"/>
  <c r="Q26" i="6" s="1"/>
  <c r="Q51" i="19"/>
  <c r="R26" i="6" s="1"/>
  <c r="R51" i="19"/>
  <c r="S26" i="6" s="1"/>
  <c r="S51" i="19"/>
  <c r="T26" i="6" s="1"/>
  <c r="T51" i="19"/>
  <c r="U26" i="6" s="1"/>
  <c r="U51" i="19"/>
  <c r="V26" i="6" s="1"/>
  <c r="V51" i="19"/>
  <c r="W26" i="6" s="1"/>
  <c r="W51" i="19"/>
  <c r="X26" i="6" s="1"/>
  <c r="X51" i="19"/>
  <c r="Y26" i="6" s="1"/>
  <c r="Y51" i="19"/>
  <c r="Z26" i="6" s="1"/>
  <c r="Z51" i="19"/>
  <c r="AA26" i="6" s="1"/>
  <c r="AA51" i="19"/>
  <c r="AB26" i="6" s="1"/>
  <c r="AB51" i="19"/>
  <c r="AC26" i="6" s="1"/>
  <c r="AC51" i="19"/>
  <c r="AD26" i="6" s="1"/>
  <c r="AD51" i="19"/>
  <c r="AE26" i="6" s="1"/>
  <c r="AE51" i="19"/>
  <c r="AF26" i="6" s="1"/>
  <c r="AF51" i="19"/>
  <c r="AG26" i="6" s="1"/>
  <c r="AG51" i="19"/>
  <c r="AH26" i="6" s="1"/>
  <c r="AH51" i="19"/>
  <c r="AI26" i="6" s="1"/>
  <c r="AI51" i="19"/>
  <c r="AJ26" i="6" s="1"/>
  <c r="AJ51" i="19"/>
  <c r="AK26" i="6" s="1"/>
  <c r="AK51" i="19"/>
  <c r="AL26" i="6" s="1"/>
  <c r="AL51" i="19"/>
  <c r="AM26" i="6" s="1"/>
  <c r="AM51" i="19"/>
  <c r="AN26" i="6" s="1"/>
  <c r="AN51" i="19"/>
  <c r="AO26" i="6" s="1"/>
  <c r="AO51" i="19"/>
  <c r="AP26" i="6" s="1"/>
  <c r="AP51" i="19"/>
  <c r="AQ26" i="6" s="1"/>
  <c r="AQ51" i="19"/>
  <c r="AR26" i="6" s="1"/>
  <c r="AR51" i="19"/>
  <c r="AS26" i="6" s="1"/>
  <c r="AS51" i="19"/>
  <c r="AT26" i="6" s="1"/>
  <c r="K23" i="23"/>
  <c r="L33" i="6" s="1"/>
  <c r="L23" i="23"/>
  <c r="M33" i="6" s="1"/>
  <c r="M23" i="23"/>
  <c r="N33" i="6" s="1"/>
  <c r="N23" i="23"/>
  <c r="O33" i="6" s="1"/>
  <c r="O23" i="23"/>
  <c r="P33" i="6" s="1"/>
  <c r="P23" i="23"/>
  <c r="Q33" i="6" s="1"/>
  <c r="Q23" i="23"/>
  <c r="R33" i="6" s="1"/>
  <c r="R23" i="23"/>
  <c r="S33" i="6" s="1"/>
  <c r="S23" i="23"/>
  <c r="T33" i="6" s="1"/>
  <c r="T23" i="23"/>
  <c r="U33" i="6" s="1"/>
  <c r="U23" i="23"/>
  <c r="V33" i="6" s="1"/>
  <c r="V23" i="23"/>
  <c r="W33" i="6" s="1"/>
  <c r="W23" i="23"/>
  <c r="X33" i="6" s="1"/>
  <c r="X23" i="23"/>
  <c r="Y33" i="6" s="1"/>
  <c r="Y23" i="23"/>
  <c r="Z33" i="6" s="1"/>
  <c r="Z23" i="23"/>
  <c r="AA33" i="6" s="1"/>
  <c r="AA23" i="23"/>
  <c r="AB33" i="6" s="1"/>
  <c r="AB23" i="23"/>
  <c r="AC33" i="6" s="1"/>
  <c r="AC23" i="23"/>
  <c r="AD33" i="6" s="1"/>
  <c r="AD23" i="23"/>
  <c r="AE33" i="6" s="1"/>
  <c r="AE23" i="23"/>
  <c r="AF33" i="6" s="1"/>
  <c r="AF23" i="23"/>
  <c r="AG33" i="6" s="1"/>
  <c r="AG23" i="23"/>
  <c r="AH33" i="6" s="1"/>
  <c r="AH23" i="23"/>
  <c r="AI33" i="6" s="1"/>
  <c r="AI23" i="23"/>
  <c r="AJ33" i="6" s="1"/>
  <c r="AJ23" i="23"/>
  <c r="AK33" i="6" s="1"/>
  <c r="AK23" i="23"/>
  <c r="AL33" i="6" s="1"/>
  <c r="AL23" i="23"/>
  <c r="AM33" i="6" s="1"/>
  <c r="AM23" i="23"/>
  <c r="AN33" i="6" s="1"/>
  <c r="AN23" i="23"/>
  <c r="AO33" i="6" s="1"/>
  <c r="AO23" i="23"/>
  <c r="AP33" i="6" s="1"/>
  <c r="AP23" i="23"/>
  <c r="AQ33" i="6" s="1"/>
  <c r="AQ23" i="23"/>
  <c r="AR33" i="6" s="1"/>
  <c r="AR23" i="23"/>
  <c r="AS33" i="6" s="1"/>
  <c r="AS23" i="23"/>
  <c r="AT33" i="6" s="1"/>
  <c r="D23" i="23"/>
  <c r="E33" i="6" s="1"/>
  <c r="E23" i="23"/>
  <c r="F33" i="6" s="1"/>
  <c r="F23" i="23"/>
  <c r="G33" i="6" s="1"/>
  <c r="G23" i="23"/>
  <c r="H33" i="6" s="1"/>
  <c r="H23" i="23"/>
  <c r="I33" i="6" s="1"/>
  <c r="I23" i="23"/>
  <c r="J33" i="6" s="1"/>
  <c r="J23" i="23"/>
  <c r="K33" i="6" s="1"/>
  <c r="C23" i="23"/>
  <c r="D33" i="6" s="1"/>
  <c r="C31" i="6" l="1"/>
  <c r="C24" i="6"/>
  <c r="D55" i="7" l="1"/>
  <c r="E19" i="6" s="1"/>
  <c r="E55" i="7"/>
  <c r="F19" i="6" s="1"/>
  <c r="F55" i="7"/>
  <c r="G19" i="6" s="1"/>
  <c r="G55" i="7"/>
  <c r="H19" i="6" s="1"/>
  <c r="H55" i="7"/>
  <c r="I19" i="6" s="1"/>
  <c r="I55" i="7"/>
  <c r="J19" i="6" s="1"/>
  <c r="J55" i="7"/>
  <c r="K19" i="6" s="1"/>
  <c r="K55" i="7"/>
  <c r="L19" i="6" s="1"/>
  <c r="L55" i="7"/>
  <c r="M19" i="6" s="1"/>
  <c r="M55" i="7"/>
  <c r="N19" i="6" s="1"/>
  <c r="N55" i="7"/>
  <c r="O19" i="6" s="1"/>
  <c r="O55" i="7"/>
  <c r="P19" i="6" s="1"/>
  <c r="P55" i="7"/>
  <c r="Q19" i="6" s="1"/>
  <c r="Q55" i="7"/>
  <c r="R19" i="6" s="1"/>
  <c r="R55" i="7"/>
  <c r="S19" i="6" s="1"/>
  <c r="S55" i="7"/>
  <c r="T19" i="6" s="1"/>
  <c r="T55" i="7"/>
  <c r="U19" i="6" s="1"/>
  <c r="U55" i="7"/>
  <c r="V19" i="6" s="1"/>
  <c r="V55" i="7"/>
  <c r="W19" i="6" s="1"/>
  <c r="W55" i="7"/>
  <c r="X19" i="6" s="1"/>
  <c r="X55" i="7"/>
  <c r="Y19" i="6" s="1"/>
  <c r="Y55" i="7"/>
  <c r="Z19" i="6" s="1"/>
  <c r="Z55" i="7"/>
  <c r="AA19" i="6" s="1"/>
  <c r="AA55" i="7"/>
  <c r="AB19" i="6" s="1"/>
  <c r="AB55" i="7"/>
  <c r="AC19" i="6" s="1"/>
  <c r="AC55" i="7"/>
  <c r="AD19" i="6" s="1"/>
  <c r="AD55" i="7"/>
  <c r="AE19" i="6" s="1"/>
  <c r="AE55" i="7"/>
  <c r="AF19" i="6" s="1"/>
  <c r="AF55" i="7"/>
  <c r="AG19" i="6" s="1"/>
  <c r="AG55" i="7"/>
  <c r="AH19" i="6" s="1"/>
  <c r="AH55" i="7"/>
  <c r="AI19" i="6" s="1"/>
  <c r="AI55" i="7"/>
  <c r="AJ19" i="6" s="1"/>
  <c r="AJ55" i="7"/>
  <c r="AK19" i="6" s="1"/>
  <c r="AK55" i="7"/>
  <c r="AL19" i="6" s="1"/>
  <c r="AL55" i="7"/>
  <c r="AM19" i="6" s="1"/>
  <c r="AM55" i="7"/>
  <c r="AN19" i="6" s="1"/>
  <c r="AN55" i="7"/>
  <c r="AO19" i="6" s="1"/>
  <c r="AO55" i="7"/>
  <c r="AP19" i="6" s="1"/>
  <c r="AP55" i="7"/>
  <c r="AQ19" i="6" s="1"/>
  <c r="AQ55" i="7"/>
  <c r="AR19" i="6" s="1"/>
  <c r="AR55" i="7"/>
  <c r="AS19" i="6" s="1"/>
  <c r="AS55" i="7"/>
  <c r="AT19" i="6" s="1"/>
  <c r="D52" i="2"/>
  <c r="E18" i="6" s="1"/>
  <c r="E52" i="2"/>
  <c r="F18" i="6" s="1"/>
  <c r="F52" i="2"/>
  <c r="G18" i="6" s="1"/>
  <c r="G52" i="2"/>
  <c r="H18" i="6" s="1"/>
  <c r="H52" i="2"/>
  <c r="I18" i="6" s="1"/>
  <c r="I52" i="2"/>
  <c r="J18" i="6" s="1"/>
  <c r="J52" i="2"/>
  <c r="K18" i="6" s="1"/>
  <c r="K52" i="2"/>
  <c r="L18" i="6" s="1"/>
  <c r="L52" i="2"/>
  <c r="M18" i="6" s="1"/>
  <c r="M52" i="2"/>
  <c r="N18" i="6" s="1"/>
  <c r="N52" i="2"/>
  <c r="O18" i="6" s="1"/>
  <c r="O52" i="2"/>
  <c r="P18" i="6" s="1"/>
  <c r="P52" i="2"/>
  <c r="Q18" i="6" s="1"/>
  <c r="Q52" i="2"/>
  <c r="R18" i="6" s="1"/>
  <c r="R52" i="2"/>
  <c r="S18" i="6" s="1"/>
  <c r="S52" i="2"/>
  <c r="T18" i="6" s="1"/>
  <c r="T52" i="2"/>
  <c r="U18" i="6" s="1"/>
  <c r="U52" i="2"/>
  <c r="V18" i="6" s="1"/>
  <c r="V52" i="2"/>
  <c r="W18" i="6" s="1"/>
  <c r="W52" i="2"/>
  <c r="X18" i="6" s="1"/>
  <c r="X52" i="2"/>
  <c r="Y18" i="6" s="1"/>
  <c r="Y52" i="2"/>
  <c r="Z18" i="6" s="1"/>
  <c r="Z52" i="2"/>
  <c r="AA18" i="6" s="1"/>
  <c r="AA52" i="2"/>
  <c r="AB18" i="6" s="1"/>
  <c r="AB52" i="2"/>
  <c r="AC18" i="6" s="1"/>
  <c r="AC52" i="2"/>
  <c r="AD18" i="6" s="1"/>
  <c r="AD52" i="2"/>
  <c r="AE18" i="6" s="1"/>
  <c r="AE52" i="2"/>
  <c r="AF18" i="6" s="1"/>
  <c r="AF52" i="2"/>
  <c r="AG18" i="6" s="1"/>
  <c r="AG52" i="2"/>
  <c r="AH18" i="6" s="1"/>
  <c r="AH52" i="2"/>
  <c r="AI18" i="6" s="1"/>
  <c r="AI52" i="2"/>
  <c r="AJ18" i="6" s="1"/>
  <c r="AJ52" i="2"/>
  <c r="AK18" i="6" s="1"/>
  <c r="AK52" i="2"/>
  <c r="AL18" i="6" s="1"/>
  <c r="AL52" i="2"/>
  <c r="AM18" i="6" s="1"/>
  <c r="AM52" i="2"/>
  <c r="AN18" i="6" s="1"/>
  <c r="AN52" i="2"/>
  <c r="AO18" i="6" s="1"/>
  <c r="AO52" i="2"/>
  <c r="AP18" i="6" s="1"/>
  <c r="AP52" i="2"/>
  <c r="AQ18" i="6" s="1"/>
  <c r="AQ52" i="2"/>
  <c r="AR18" i="6" s="1"/>
  <c r="AR52" i="2"/>
  <c r="AS18" i="6" s="1"/>
  <c r="AS52" i="2"/>
  <c r="AT18" i="6" s="1"/>
  <c r="C29" i="14"/>
  <c r="D31" i="6" s="1"/>
  <c r="D79" i="16"/>
  <c r="E20" i="6" s="1"/>
  <c r="E79" i="16"/>
  <c r="F20" i="6" s="1"/>
  <c r="F79" i="16"/>
  <c r="G20" i="6" s="1"/>
  <c r="G79" i="16"/>
  <c r="H20" i="6" s="1"/>
  <c r="H79" i="16"/>
  <c r="I20" i="6" s="1"/>
  <c r="I79" i="16"/>
  <c r="J20" i="6" s="1"/>
  <c r="J79" i="16"/>
  <c r="K20" i="6" s="1"/>
  <c r="K79" i="16"/>
  <c r="L20" i="6" s="1"/>
  <c r="L79" i="16"/>
  <c r="M20" i="6" s="1"/>
  <c r="M79" i="16"/>
  <c r="N20" i="6" s="1"/>
  <c r="N79" i="16"/>
  <c r="O20" i="6" s="1"/>
  <c r="O79" i="16"/>
  <c r="P20" i="6" s="1"/>
  <c r="P79" i="16"/>
  <c r="Q20" i="6" s="1"/>
  <c r="Q79" i="16"/>
  <c r="R20" i="6" s="1"/>
  <c r="R79" i="16"/>
  <c r="S20" i="6" s="1"/>
  <c r="S79" i="16"/>
  <c r="T20" i="6" s="1"/>
  <c r="T79" i="16"/>
  <c r="U20" i="6" s="1"/>
  <c r="U79" i="16"/>
  <c r="V20" i="6" s="1"/>
  <c r="V79" i="16"/>
  <c r="W20" i="6" s="1"/>
  <c r="W79" i="16"/>
  <c r="X20" i="6" s="1"/>
  <c r="X79" i="16"/>
  <c r="Y20" i="6" s="1"/>
  <c r="Y79" i="16"/>
  <c r="Z20" i="6" s="1"/>
  <c r="Z79" i="16"/>
  <c r="AA20" i="6" s="1"/>
  <c r="AA79" i="16"/>
  <c r="AB20" i="6" s="1"/>
  <c r="AB79" i="16"/>
  <c r="AC20" i="6" s="1"/>
  <c r="AC79" i="16"/>
  <c r="AD20" i="6" s="1"/>
  <c r="AD79" i="16"/>
  <c r="AE20" i="6" s="1"/>
  <c r="AE79" i="16"/>
  <c r="AF20" i="6" s="1"/>
  <c r="AF79" i="16"/>
  <c r="AG20" i="6" s="1"/>
  <c r="AG79" i="16"/>
  <c r="AH20" i="6" s="1"/>
  <c r="AH79" i="16"/>
  <c r="AI20" i="6" s="1"/>
  <c r="AI79" i="16"/>
  <c r="AJ20" i="6" s="1"/>
  <c r="AJ79" i="16"/>
  <c r="AK20" i="6" s="1"/>
  <c r="AK79" i="16"/>
  <c r="AL20" i="6" s="1"/>
  <c r="AL79" i="16"/>
  <c r="AM20" i="6" s="1"/>
  <c r="AM79" i="16"/>
  <c r="AN20" i="6" s="1"/>
  <c r="AN79" i="16"/>
  <c r="AO20" i="6" s="1"/>
  <c r="AO79" i="16"/>
  <c r="AP20" i="6" s="1"/>
  <c r="AP79" i="16"/>
  <c r="AQ20" i="6" s="1"/>
  <c r="AQ79" i="16"/>
  <c r="AR20" i="6" s="1"/>
  <c r="AR79" i="16"/>
  <c r="AS20" i="6" s="1"/>
  <c r="AS79" i="16"/>
  <c r="AT20" i="6" s="1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D48" i="17"/>
  <c r="E21" i="6" s="1"/>
  <c r="E48" i="17"/>
  <c r="F21" i="6" s="1"/>
  <c r="F48" i="17"/>
  <c r="G21" i="6" s="1"/>
  <c r="G48" i="17"/>
  <c r="H21" i="6" s="1"/>
  <c r="H48" i="17"/>
  <c r="I21" i="6" s="1"/>
  <c r="I48" i="17"/>
  <c r="J21" i="6" s="1"/>
  <c r="J48" i="17"/>
  <c r="K21" i="6" s="1"/>
  <c r="K48" i="17"/>
  <c r="L21" i="6" s="1"/>
  <c r="L48" i="17"/>
  <c r="M21" i="6" s="1"/>
  <c r="M48" i="17"/>
  <c r="N21" i="6" s="1"/>
  <c r="N48" i="17"/>
  <c r="O21" i="6" s="1"/>
  <c r="O48" i="17"/>
  <c r="P21" i="6" s="1"/>
  <c r="P48" i="17"/>
  <c r="Q21" i="6" s="1"/>
  <c r="Q48" i="17"/>
  <c r="R21" i="6" s="1"/>
  <c r="R48" i="17"/>
  <c r="S21" i="6" s="1"/>
  <c r="S48" i="17"/>
  <c r="T21" i="6" s="1"/>
  <c r="T48" i="17"/>
  <c r="U21" i="6" s="1"/>
  <c r="U48" i="17"/>
  <c r="V21" i="6" s="1"/>
  <c r="V48" i="17"/>
  <c r="W21" i="6" s="1"/>
  <c r="W48" i="17"/>
  <c r="X21" i="6" s="1"/>
  <c r="X48" i="17"/>
  <c r="Y21" i="6" s="1"/>
  <c r="Y48" i="17"/>
  <c r="Z21" i="6" s="1"/>
  <c r="Z48" i="17"/>
  <c r="AA21" i="6" s="1"/>
  <c r="AA48" i="17"/>
  <c r="AB21" i="6" s="1"/>
  <c r="AB48" i="17"/>
  <c r="AC21" i="6" s="1"/>
  <c r="AC48" i="17"/>
  <c r="AD21" i="6" s="1"/>
  <c r="AD48" i="17"/>
  <c r="AE21" i="6" s="1"/>
  <c r="AE48" i="17"/>
  <c r="AF21" i="6" s="1"/>
  <c r="AF48" i="17"/>
  <c r="AG21" i="6" s="1"/>
  <c r="AG48" i="17"/>
  <c r="AH21" i="6" s="1"/>
  <c r="AH48" i="17"/>
  <c r="AI21" i="6" s="1"/>
  <c r="AI48" i="17"/>
  <c r="AJ21" i="6" s="1"/>
  <c r="AJ48" i="17"/>
  <c r="AK21" i="6" s="1"/>
  <c r="AK48" i="17"/>
  <c r="AL21" i="6" s="1"/>
  <c r="AL48" i="17"/>
  <c r="AM21" i="6" s="1"/>
  <c r="AM48" i="17"/>
  <c r="AN21" i="6" s="1"/>
  <c r="AN48" i="17"/>
  <c r="AO21" i="6" s="1"/>
  <c r="AO48" i="17"/>
  <c r="AP21" i="6" s="1"/>
  <c r="AP48" i="17"/>
  <c r="AQ21" i="6" s="1"/>
  <c r="AQ48" i="17"/>
  <c r="AR21" i="6" s="1"/>
  <c r="AR48" i="17"/>
  <c r="AS21" i="6" s="1"/>
  <c r="AS48" i="17"/>
  <c r="AT21" i="6" s="1"/>
  <c r="C48" i="17"/>
  <c r="D21" i="6" s="1"/>
  <c r="C79" i="16"/>
  <c r="D20" i="6" s="1"/>
  <c r="C69" i="9"/>
  <c r="D24" i="6" s="1"/>
  <c r="C69" i="8"/>
  <c r="D23" i="6" s="1"/>
  <c r="S12" i="7" l="1"/>
  <c r="S8" i="2"/>
  <c r="S12" i="15"/>
  <c r="S12" i="14"/>
  <c r="S12" i="13"/>
  <c r="R12" i="11"/>
  <c r="E34" i="6"/>
  <c r="F34" i="6"/>
  <c r="H34" i="6"/>
  <c r="I34" i="6"/>
  <c r="J34" i="6"/>
  <c r="L34" i="6"/>
  <c r="N34" i="6"/>
  <c r="P34" i="6"/>
  <c r="T34" i="6"/>
  <c r="U34" i="6"/>
  <c r="V34" i="6"/>
  <c r="X34" i="6"/>
  <c r="Y34" i="6"/>
  <c r="Z34" i="6"/>
  <c r="AB34" i="6"/>
  <c r="AD34" i="6"/>
  <c r="AF34" i="6"/>
  <c r="AJ34" i="6"/>
  <c r="AK34" i="6"/>
  <c r="AL34" i="6"/>
  <c r="AN34" i="6"/>
  <c r="AO34" i="6"/>
  <c r="AP34" i="6"/>
  <c r="AR34" i="6"/>
  <c r="AT34" i="6"/>
  <c r="G34" i="6"/>
  <c r="K34" i="6"/>
  <c r="M34" i="6"/>
  <c r="O34" i="6"/>
  <c r="Q34" i="6"/>
  <c r="R34" i="6"/>
  <c r="S34" i="6"/>
  <c r="W34" i="6"/>
  <c r="AA34" i="6"/>
  <c r="AC34" i="6"/>
  <c r="AE34" i="6"/>
  <c r="AG34" i="6"/>
  <c r="AH34" i="6"/>
  <c r="AI34" i="6"/>
  <c r="AM34" i="6"/>
  <c r="AQ34" i="6"/>
  <c r="AS34" i="6"/>
  <c r="C18" i="6"/>
  <c r="C30" i="6" l="1"/>
  <c r="D32" i="6" l="1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C41" i="13"/>
  <c r="D30" i="6" s="1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C65" i="11"/>
  <c r="D29" i="6" s="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AR35" i="6" l="1"/>
  <c r="AN35" i="6"/>
  <c r="AF35" i="6"/>
  <c r="AB35" i="6"/>
  <c r="X35" i="6"/>
  <c r="T35" i="6"/>
  <c r="P35" i="6"/>
  <c r="L35" i="6"/>
  <c r="H35" i="6"/>
  <c r="AJ35" i="6"/>
  <c r="AM35" i="6"/>
  <c r="AI35" i="6"/>
  <c r="AE35" i="6"/>
  <c r="AA35" i="6"/>
  <c r="W35" i="6"/>
  <c r="S35" i="6"/>
  <c r="O35" i="6"/>
  <c r="K35" i="6"/>
  <c r="G35" i="6"/>
  <c r="AS35" i="6"/>
  <c r="AO35" i="6"/>
  <c r="AK35" i="6"/>
  <c r="AG35" i="6"/>
  <c r="AC35" i="6"/>
  <c r="Y35" i="6"/>
  <c r="U35" i="6"/>
  <c r="Q35" i="6"/>
  <c r="M35" i="6"/>
  <c r="I35" i="6"/>
  <c r="AT35" i="6"/>
  <c r="AP35" i="6"/>
  <c r="AL35" i="6"/>
  <c r="AH35" i="6"/>
  <c r="AD35" i="6"/>
  <c r="Z35" i="6"/>
  <c r="V35" i="6"/>
  <c r="R35" i="6"/>
  <c r="N35" i="6"/>
  <c r="J35" i="6"/>
  <c r="F35" i="6"/>
  <c r="AQ35" i="6"/>
  <c r="C55" i="7"/>
  <c r="D19" i="6" s="1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C52" i="2" l="1"/>
  <c r="D18" i="6" s="1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U12" i="24" l="1"/>
  <c r="S12" i="24"/>
  <c r="U12" i="23"/>
  <c r="S12" i="23"/>
  <c r="T12" i="22"/>
  <c r="R12" i="22"/>
  <c r="T12" i="21"/>
  <c r="R12" i="21"/>
  <c r="T12" i="19"/>
  <c r="R12" i="19"/>
  <c r="T12" i="10"/>
  <c r="R12" i="10"/>
  <c r="T12" i="9"/>
  <c r="R12" i="9"/>
  <c r="T12" i="8"/>
  <c r="R12" i="8"/>
  <c r="V12" i="18"/>
  <c r="T12" i="18"/>
  <c r="T12" i="17"/>
  <c r="R12" i="17"/>
  <c r="U12" i="16"/>
  <c r="S12" i="16"/>
  <c r="U13" i="6"/>
  <c r="S13" i="6"/>
  <c r="C27" i="6" l="1"/>
  <c r="C26" i="6"/>
  <c r="D34" i="6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D28" i="6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D27" i="6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C51" i="19"/>
  <c r="D26" i="6" s="1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D22" i="6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E35" i="6" l="1"/>
  <c r="D35" i="6"/>
  <c r="C35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V44" i="1" s="1"/>
  <c r="D45" i="1"/>
  <c r="V45" i="1" s="1"/>
  <c r="D46" i="1"/>
  <c r="D5" i="1"/>
  <c r="D4" i="1"/>
  <c r="D15" i="23" l="1"/>
  <c r="D15" i="11"/>
  <c r="D15" i="10"/>
  <c r="D15" i="15"/>
  <c r="D15" i="22"/>
  <c r="D15" i="14"/>
  <c r="D15" i="21"/>
  <c r="D15" i="19"/>
  <c r="D15" i="18"/>
  <c r="D15" i="8"/>
  <c r="D15" i="17"/>
  <c r="D15" i="7"/>
  <c r="D15" i="13"/>
  <c r="D15" i="24"/>
  <c r="D15" i="9"/>
  <c r="D15" i="16"/>
  <c r="D11" i="2"/>
  <c r="L15" i="23"/>
  <c r="L15" i="11"/>
  <c r="L15" i="15"/>
  <c r="L15" i="22"/>
  <c r="L15" i="14"/>
  <c r="L15" i="21"/>
  <c r="L15" i="24"/>
  <c r="L15" i="18"/>
  <c r="L15" i="8"/>
  <c r="L15" i="13"/>
  <c r="L15" i="10"/>
  <c r="L15" i="17"/>
  <c r="L15" i="7"/>
  <c r="L15" i="19"/>
  <c r="L15" i="9"/>
  <c r="L15" i="16"/>
  <c r="L11" i="2"/>
  <c r="T15" i="24"/>
  <c r="T15" i="13"/>
  <c r="T15" i="19"/>
  <c r="T15" i="23"/>
  <c r="T15" i="11"/>
  <c r="T15" i="15"/>
  <c r="T15" i="22"/>
  <c r="T15" i="8"/>
  <c r="T15" i="7"/>
  <c r="T15" i="14"/>
  <c r="T15" i="18"/>
  <c r="T11" i="2"/>
  <c r="T15" i="9"/>
  <c r="T15" i="21"/>
  <c r="T15" i="10"/>
  <c r="T15" i="17"/>
  <c r="T15" i="16"/>
  <c r="AB15" i="23"/>
  <c r="AB15" i="11"/>
  <c r="AB15" i="15"/>
  <c r="AB15" i="22"/>
  <c r="AB15" i="14"/>
  <c r="AB15" i="21"/>
  <c r="AB15" i="13"/>
  <c r="AB15" i="18"/>
  <c r="AB15" i="19"/>
  <c r="AB15" i="10"/>
  <c r="AB15" i="17"/>
  <c r="AB15" i="7"/>
  <c r="AB15" i="8"/>
  <c r="AB15" i="9"/>
  <c r="AB15" i="16"/>
  <c r="AB11" i="2"/>
  <c r="AB15" i="24"/>
  <c r="AN15" i="15"/>
  <c r="AN15" i="22"/>
  <c r="AN15" i="14"/>
  <c r="AN15" i="21"/>
  <c r="AN15" i="24"/>
  <c r="AN15" i="13"/>
  <c r="AN15" i="19"/>
  <c r="AN15" i="11"/>
  <c r="AN15" i="10"/>
  <c r="AN15" i="17"/>
  <c r="AN15" i="9"/>
  <c r="AN15" i="16"/>
  <c r="AN15" i="23"/>
  <c r="AN15" i="18"/>
  <c r="AN15" i="8"/>
  <c r="AN15" i="7"/>
  <c r="AN11" i="2"/>
  <c r="E15" i="24"/>
  <c r="E15" i="13"/>
  <c r="E15" i="19"/>
  <c r="E15" i="23"/>
  <c r="E15" i="11"/>
  <c r="E15" i="10"/>
  <c r="E15" i="15"/>
  <c r="E15" i="22"/>
  <c r="E15" i="8"/>
  <c r="E15" i="7"/>
  <c r="E15" i="21"/>
  <c r="E15" i="9"/>
  <c r="E15" i="18"/>
  <c r="E11" i="2"/>
  <c r="E15" i="16"/>
  <c r="E15" i="14"/>
  <c r="E15" i="17"/>
  <c r="I15" i="24"/>
  <c r="I15" i="13"/>
  <c r="I15" i="19"/>
  <c r="I15" i="23"/>
  <c r="I15" i="11"/>
  <c r="I15" i="10"/>
  <c r="I15" i="15"/>
  <c r="I15" i="22"/>
  <c r="I15" i="21"/>
  <c r="I15" i="8"/>
  <c r="I15" i="7"/>
  <c r="I15" i="16"/>
  <c r="I15" i="18"/>
  <c r="I11" i="2"/>
  <c r="I15" i="14"/>
  <c r="I15" i="9"/>
  <c r="I15" i="17"/>
  <c r="M15" i="24"/>
  <c r="M15" i="13"/>
  <c r="M15" i="19"/>
  <c r="M15" i="23"/>
  <c r="M15" i="11"/>
  <c r="M15" i="15"/>
  <c r="M15" i="22"/>
  <c r="M15" i="14"/>
  <c r="M15" i="8"/>
  <c r="M15" i="7"/>
  <c r="M15" i="21"/>
  <c r="M15" i="18"/>
  <c r="M11" i="2"/>
  <c r="M15" i="9"/>
  <c r="M15" i="10"/>
  <c r="M15" i="17"/>
  <c r="M15" i="16"/>
  <c r="Q15" i="15"/>
  <c r="Q15" i="22"/>
  <c r="Q15" i="14"/>
  <c r="Q15" i="21"/>
  <c r="Q15" i="24"/>
  <c r="Q15" i="13"/>
  <c r="Q15" i="19"/>
  <c r="Q15" i="10"/>
  <c r="Q15" i="17"/>
  <c r="Q15" i="11"/>
  <c r="Q11" i="2"/>
  <c r="Q15" i="9"/>
  <c r="Q15" i="16"/>
  <c r="Q15" i="18"/>
  <c r="Q15" i="23"/>
  <c r="Q15" i="8"/>
  <c r="Q15" i="7"/>
  <c r="U15" i="14"/>
  <c r="U15" i="21"/>
  <c r="U15" i="24"/>
  <c r="U15" i="13"/>
  <c r="U15" i="19"/>
  <c r="U15" i="23"/>
  <c r="U15" i="11"/>
  <c r="U15" i="15"/>
  <c r="U15" i="9"/>
  <c r="U15" i="16"/>
  <c r="U11" i="2"/>
  <c r="U15" i="10"/>
  <c r="U15" i="7"/>
  <c r="U15" i="22"/>
  <c r="U15" i="8"/>
  <c r="U15" i="18"/>
  <c r="U15" i="17"/>
  <c r="Y15" i="24"/>
  <c r="Y15" i="13"/>
  <c r="Y15" i="19"/>
  <c r="Y15" i="23"/>
  <c r="Y15" i="11"/>
  <c r="Y15" i="15"/>
  <c r="Y15" i="22"/>
  <c r="Y15" i="8"/>
  <c r="Y15" i="7"/>
  <c r="Y15" i="9"/>
  <c r="Y15" i="18"/>
  <c r="Y11" i="2"/>
  <c r="Y15" i="21"/>
  <c r="Y15" i="14"/>
  <c r="Y15" i="10"/>
  <c r="Y15" i="17"/>
  <c r="Y15" i="16"/>
  <c r="AC15" i="24"/>
  <c r="AC15" i="13"/>
  <c r="AC15" i="19"/>
  <c r="AC15" i="23"/>
  <c r="AC15" i="11"/>
  <c r="AC15" i="15"/>
  <c r="AC15" i="22"/>
  <c r="AC15" i="21"/>
  <c r="AC15" i="8"/>
  <c r="AC15" i="7"/>
  <c r="AC15" i="14"/>
  <c r="AC15" i="16"/>
  <c r="AC15" i="18"/>
  <c r="AC11" i="2"/>
  <c r="AC15" i="9"/>
  <c r="AC15" i="10"/>
  <c r="AC15" i="17"/>
  <c r="AK15" i="23"/>
  <c r="AK15" i="11"/>
  <c r="AK15" i="15"/>
  <c r="AK15" i="22"/>
  <c r="AK15" i="14"/>
  <c r="AK15" i="21"/>
  <c r="AK15" i="18"/>
  <c r="AK15" i="24"/>
  <c r="AK15" i="10"/>
  <c r="AK15" i="17"/>
  <c r="AK15" i="7"/>
  <c r="AK15" i="19"/>
  <c r="AK15" i="8"/>
  <c r="AK15" i="13"/>
  <c r="AK15" i="9"/>
  <c r="AK15" i="16"/>
  <c r="AK11" i="2"/>
  <c r="AO15" i="23"/>
  <c r="AO15" i="11"/>
  <c r="AO15" i="15"/>
  <c r="AO15" i="22"/>
  <c r="AO15" i="14"/>
  <c r="AO15" i="21"/>
  <c r="AO15" i="19"/>
  <c r="AO15" i="18"/>
  <c r="AO15" i="8"/>
  <c r="AO15" i="10"/>
  <c r="AO15" i="17"/>
  <c r="AO15" i="7"/>
  <c r="AO15" i="13"/>
  <c r="AO15" i="24"/>
  <c r="AO15" i="9"/>
  <c r="AO15" i="16"/>
  <c r="AO11" i="2"/>
  <c r="AS15" i="15"/>
  <c r="AS15" i="22"/>
  <c r="AS15" i="14"/>
  <c r="AS15" i="21"/>
  <c r="AS15" i="24"/>
  <c r="AS15" i="13"/>
  <c r="AS15" i="19"/>
  <c r="AS15" i="23"/>
  <c r="AS15" i="10"/>
  <c r="AS15" i="17"/>
  <c r="AS11" i="2"/>
  <c r="AS15" i="11"/>
  <c r="AS15" i="9"/>
  <c r="AS15" i="16"/>
  <c r="AS15" i="18"/>
  <c r="AS15" i="8"/>
  <c r="AS15" i="7"/>
  <c r="H15" i="23"/>
  <c r="H15" i="11"/>
  <c r="H15" i="10"/>
  <c r="H15" i="15"/>
  <c r="H15" i="22"/>
  <c r="H15" i="14"/>
  <c r="H15" i="21"/>
  <c r="H15" i="13"/>
  <c r="H15" i="18"/>
  <c r="H15" i="19"/>
  <c r="H15" i="17"/>
  <c r="H15" i="7"/>
  <c r="H15" i="24"/>
  <c r="H15" i="8"/>
  <c r="H15" i="9"/>
  <c r="H15" i="16"/>
  <c r="H11" i="2"/>
  <c r="P15" i="14"/>
  <c r="P15" i="21"/>
  <c r="P15" i="24"/>
  <c r="P15" i="13"/>
  <c r="P15" i="19"/>
  <c r="P15" i="23"/>
  <c r="P15" i="11"/>
  <c r="P15" i="22"/>
  <c r="P15" i="9"/>
  <c r="P15" i="16"/>
  <c r="P11" i="2"/>
  <c r="P15" i="8"/>
  <c r="P15" i="15"/>
  <c r="P15" i="10"/>
  <c r="P15" i="17"/>
  <c r="P15" i="7"/>
  <c r="P15" i="18"/>
  <c r="X15" i="23"/>
  <c r="X15" i="11"/>
  <c r="X15" i="15"/>
  <c r="X15" i="22"/>
  <c r="X15" i="14"/>
  <c r="X15" i="21"/>
  <c r="X15" i="19"/>
  <c r="X15" i="18"/>
  <c r="X15" i="13"/>
  <c r="X15" i="8"/>
  <c r="X15" i="10"/>
  <c r="X15" i="17"/>
  <c r="X15" i="7"/>
  <c r="X15" i="24"/>
  <c r="X15" i="9"/>
  <c r="X15" i="16"/>
  <c r="X11" i="2"/>
  <c r="AJ15" i="15"/>
  <c r="AJ15" i="22"/>
  <c r="AJ15" i="14"/>
  <c r="AJ15" i="21"/>
  <c r="AJ15" i="24"/>
  <c r="AJ15" i="13"/>
  <c r="AJ15" i="19"/>
  <c r="AJ15" i="10"/>
  <c r="AJ15" i="17"/>
  <c r="AJ15" i="9"/>
  <c r="AJ15" i="16"/>
  <c r="AJ15" i="11"/>
  <c r="AJ11" i="2"/>
  <c r="AJ15" i="23"/>
  <c r="AJ15" i="8"/>
  <c r="AJ15" i="7"/>
  <c r="AJ15" i="18"/>
  <c r="F15" i="14"/>
  <c r="F15" i="21"/>
  <c r="F15" i="24"/>
  <c r="F15" i="13"/>
  <c r="F15" i="19"/>
  <c r="F15" i="23"/>
  <c r="F15" i="11"/>
  <c r="F15" i="10"/>
  <c r="F15" i="9"/>
  <c r="F15" i="16"/>
  <c r="F11" i="2"/>
  <c r="F15" i="15"/>
  <c r="F15" i="8"/>
  <c r="F15" i="7"/>
  <c r="F15" i="22"/>
  <c r="F15" i="18"/>
  <c r="F15" i="17"/>
  <c r="J15" i="14"/>
  <c r="J15" i="21"/>
  <c r="J15" i="24"/>
  <c r="J15" i="13"/>
  <c r="J15" i="19"/>
  <c r="J15" i="23"/>
  <c r="J15" i="11"/>
  <c r="J15" i="9"/>
  <c r="J15" i="16"/>
  <c r="J11" i="2"/>
  <c r="J15" i="22"/>
  <c r="J15" i="17"/>
  <c r="J15" i="7"/>
  <c r="J15" i="8"/>
  <c r="J15" i="10"/>
  <c r="J15" i="15"/>
  <c r="J15" i="18"/>
  <c r="V15" i="15"/>
  <c r="V15" i="22"/>
  <c r="V15" i="14"/>
  <c r="V15" i="21"/>
  <c r="V15" i="24"/>
  <c r="V15" i="13"/>
  <c r="V15" i="19"/>
  <c r="V15" i="11"/>
  <c r="V15" i="10"/>
  <c r="V15" i="17"/>
  <c r="V11" i="2"/>
  <c r="V15" i="9"/>
  <c r="V15" i="16"/>
  <c r="V15" i="23"/>
  <c r="V15" i="18"/>
  <c r="V15" i="8"/>
  <c r="V15" i="7"/>
  <c r="Z15" i="14"/>
  <c r="Z15" i="21"/>
  <c r="Z15" i="24"/>
  <c r="Z15" i="13"/>
  <c r="Z15" i="19"/>
  <c r="Z15" i="23"/>
  <c r="Z15" i="11"/>
  <c r="Z15" i="9"/>
  <c r="Z15" i="16"/>
  <c r="Z11" i="2"/>
  <c r="Z15" i="15"/>
  <c r="Z15" i="8"/>
  <c r="Z15" i="10"/>
  <c r="Z15" i="7"/>
  <c r="Z15" i="22"/>
  <c r="Z15" i="18"/>
  <c r="Z15" i="17"/>
  <c r="AD15" i="14"/>
  <c r="AD15" i="21"/>
  <c r="AD15" i="24"/>
  <c r="AD15" i="13"/>
  <c r="AD15" i="19"/>
  <c r="AD15" i="23"/>
  <c r="AD15" i="11"/>
  <c r="AD15" i="9"/>
  <c r="AD15" i="16"/>
  <c r="AD11" i="2"/>
  <c r="AD15" i="7"/>
  <c r="AD15" i="8"/>
  <c r="AD15" i="22"/>
  <c r="AD15" i="10"/>
  <c r="AD15" i="17"/>
  <c r="AD15" i="15"/>
  <c r="AD15" i="18"/>
  <c r="AH15" i="24"/>
  <c r="AH15" i="13"/>
  <c r="AH15" i="19"/>
  <c r="AH15" i="23"/>
  <c r="AH15" i="11"/>
  <c r="AH15" i="15"/>
  <c r="AH15" i="22"/>
  <c r="AH15" i="14"/>
  <c r="AH15" i="8"/>
  <c r="AH15" i="7"/>
  <c r="AH15" i="9"/>
  <c r="AH15" i="21"/>
  <c r="AH15" i="18"/>
  <c r="AH11" i="2"/>
  <c r="AH15" i="10"/>
  <c r="AH15" i="17"/>
  <c r="AH15" i="16"/>
  <c r="AL15" i="24"/>
  <c r="AL15" i="13"/>
  <c r="AL15" i="19"/>
  <c r="AL15" i="23"/>
  <c r="AL15" i="11"/>
  <c r="AL15" i="15"/>
  <c r="AL15" i="22"/>
  <c r="AL15" i="8"/>
  <c r="AL15" i="7"/>
  <c r="AL15" i="16"/>
  <c r="AL15" i="14"/>
  <c r="AL15" i="18"/>
  <c r="AL11" i="2"/>
  <c r="AL15" i="9"/>
  <c r="AL15" i="21"/>
  <c r="AL15" i="10"/>
  <c r="AL15" i="17"/>
  <c r="AP15" i="24"/>
  <c r="AP15" i="13"/>
  <c r="AP15" i="19"/>
  <c r="AP15" i="23"/>
  <c r="AP15" i="11"/>
  <c r="AP15" i="15"/>
  <c r="AP15" i="22"/>
  <c r="AP15" i="8"/>
  <c r="AP15" i="7"/>
  <c r="AP15" i="21"/>
  <c r="AP15" i="18"/>
  <c r="AP11" i="2"/>
  <c r="AP15" i="14"/>
  <c r="AP15" i="10"/>
  <c r="AP15" i="17"/>
  <c r="AP15" i="9"/>
  <c r="AP15" i="16"/>
  <c r="AF15" i="23"/>
  <c r="AF15" i="11"/>
  <c r="AF15" i="15"/>
  <c r="AF15" i="22"/>
  <c r="AF15" i="14"/>
  <c r="AF15" i="21"/>
  <c r="AF15" i="24"/>
  <c r="AF15" i="18"/>
  <c r="AF15" i="8"/>
  <c r="AF15" i="13"/>
  <c r="AF15" i="10"/>
  <c r="AF15" i="17"/>
  <c r="AF15" i="7"/>
  <c r="AF15" i="19"/>
  <c r="AF15" i="9"/>
  <c r="AF15" i="16"/>
  <c r="AF11" i="2"/>
  <c r="C15" i="15"/>
  <c r="C15" i="22"/>
  <c r="C15" i="14"/>
  <c r="C15" i="21"/>
  <c r="C15" i="24"/>
  <c r="C15" i="13"/>
  <c r="C15" i="19"/>
  <c r="C15" i="11"/>
  <c r="C15" i="17"/>
  <c r="C15" i="10"/>
  <c r="C15" i="9"/>
  <c r="C15" i="16"/>
  <c r="C15" i="23"/>
  <c r="C11" i="2"/>
  <c r="C15" i="8"/>
  <c r="C15" i="7"/>
  <c r="C15" i="18"/>
  <c r="G15" i="15"/>
  <c r="G15" i="22"/>
  <c r="G15" i="14"/>
  <c r="G15" i="21"/>
  <c r="G15" i="24"/>
  <c r="G15" i="13"/>
  <c r="G15" i="19"/>
  <c r="G15" i="23"/>
  <c r="G15" i="17"/>
  <c r="G11" i="2"/>
  <c r="G15" i="11"/>
  <c r="G15" i="9"/>
  <c r="G15" i="16"/>
  <c r="G15" i="18"/>
  <c r="G15" i="10"/>
  <c r="G15" i="8"/>
  <c r="G15" i="7"/>
  <c r="K15" i="15"/>
  <c r="K15" i="22"/>
  <c r="K15" i="14"/>
  <c r="K15" i="21"/>
  <c r="K15" i="24"/>
  <c r="K15" i="13"/>
  <c r="K15" i="19"/>
  <c r="K15" i="10"/>
  <c r="K15" i="17"/>
  <c r="K15" i="18"/>
  <c r="K15" i="23"/>
  <c r="K15" i="9"/>
  <c r="K15" i="16"/>
  <c r="K11" i="2"/>
  <c r="K15" i="11"/>
  <c r="K15" i="8"/>
  <c r="K15" i="7"/>
  <c r="S15" i="23"/>
  <c r="S15" i="11"/>
  <c r="S15" i="15"/>
  <c r="S15" i="22"/>
  <c r="S15" i="14"/>
  <c r="S15" i="21"/>
  <c r="S15" i="18"/>
  <c r="S15" i="19"/>
  <c r="S15" i="24"/>
  <c r="S15" i="10"/>
  <c r="S15" i="17"/>
  <c r="S15" i="7"/>
  <c r="S15" i="8"/>
  <c r="S15" i="13"/>
  <c r="S15" i="9"/>
  <c r="S15" i="16"/>
  <c r="S11" i="2"/>
  <c r="AA15" i="15"/>
  <c r="AA15" i="22"/>
  <c r="AA15" i="14"/>
  <c r="AA15" i="21"/>
  <c r="AA15" i="24"/>
  <c r="AA15" i="13"/>
  <c r="AA15" i="19"/>
  <c r="AA15" i="23"/>
  <c r="AA15" i="10"/>
  <c r="AA15" i="17"/>
  <c r="AA15" i="11"/>
  <c r="AA15" i="9"/>
  <c r="AA15" i="16"/>
  <c r="AA11" i="2"/>
  <c r="AA15" i="8"/>
  <c r="AA15" i="7"/>
  <c r="AA15" i="18"/>
  <c r="AE15" i="15"/>
  <c r="AE15" i="22"/>
  <c r="AE15" i="14"/>
  <c r="AE15" i="21"/>
  <c r="AE15" i="24"/>
  <c r="AE15" i="13"/>
  <c r="AE15" i="19"/>
  <c r="AE15" i="10"/>
  <c r="AE15" i="17"/>
  <c r="AE11" i="2"/>
  <c r="AE15" i="23"/>
  <c r="AE15" i="9"/>
  <c r="AE15" i="16"/>
  <c r="AE15" i="18"/>
  <c r="AE15" i="11"/>
  <c r="AE15" i="8"/>
  <c r="AE15" i="7"/>
  <c r="AI15" i="14"/>
  <c r="AI15" i="21"/>
  <c r="AI15" i="24"/>
  <c r="AI15" i="13"/>
  <c r="AI15" i="19"/>
  <c r="AI15" i="23"/>
  <c r="AI15" i="11"/>
  <c r="AI15" i="22"/>
  <c r="AI15" i="9"/>
  <c r="AI15" i="16"/>
  <c r="AI11" i="2"/>
  <c r="AI15" i="8"/>
  <c r="AI15" i="10"/>
  <c r="AI15" i="18"/>
  <c r="AI15" i="15"/>
  <c r="AI15" i="17"/>
  <c r="AI15" i="7"/>
  <c r="AM15" i="14"/>
  <c r="AM15" i="21"/>
  <c r="AM15" i="24"/>
  <c r="AM15" i="13"/>
  <c r="AM15" i="19"/>
  <c r="AM15" i="23"/>
  <c r="AM15" i="11"/>
  <c r="AM15" i="15"/>
  <c r="AM15" i="9"/>
  <c r="AM15" i="16"/>
  <c r="AM11" i="2"/>
  <c r="AM15" i="10"/>
  <c r="AM15" i="22"/>
  <c r="AM15" i="8"/>
  <c r="AM15" i="17"/>
  <c r="AM15" i="7"/>
  <c r="AM15" i="18"/>
  <c r="AQ15" i="14"/>
  <c r="AQ15" i="21"/>
  <c r="AQ15" i="24"/>
  <c r="AQ15" i="13"/>
  <c r="AQ15" i="19"/>
  <c r="AQ15" i="23"/>
  <c r="AQ15" i="11"/>
  <c r="AQ15" i="9"/>
  <c r="AQ15" i="16"/>
  <c r="AQ11" i="2"/>
  <c r="AQ15" i="7"/>
  <c r="AQ15" i="15"/>
  <c r="AQ15" i="8"/>
  <c r="AQ15" i="10"/>
  <c r="AQ15" i="22"/>
  <c r="AQ15" i="18"/>
  <c r="AQ15" i="17"/>
  <c r="AG15" i="24"/>
  <c r="AG15" i="15"/>
  <c r="AG15" i="13"/>
  <c r="AG15" i="22"/>
  <c r="AG15" i="19"/>
  <c r="AG15" i="9"/>
  <c r="AG15" i="18"/>
  <c r="AG15" i="16"/>
  <c r="AG15" i="7"/>
  <c r="AG11" i="2"/>
  <c r="AG15" i="23"/>
  <c r="AG15" i="14"/>
  <c r="AG15" i="11"/>
  <c r="AG15" i="21"/>
  <c r="AG15" i="10"/>
  <c r="AG15" i="8"/>
  <c r="AG15" i="17"/>
  <c r="O15" i="23"/>
  <c r="O15" i="11"/>
  <c r="O15" i="10"/>
  <c r="O15" i="17"/>
  <c r="O11" i="2"/>
  <c r="O15" i="9"/>
  <c r="O15" i="24"/>
  <c r="O15" i="13"/>
  <c r="O15" i="19"/>
  <c r="O15" i="18"/>
  <c r="O15" i="14"/>
  <c r="O15" i="21"/>
  <c r="O15" i="8"/>
  <c r="O15" i="7"/>
  <c r="O15" i="15"/>
  <c r="O15" i="22"/>
  <c r="O15" i="16"/>
  <c r="N15" i="9"/>
  <c r="N15" i="24"/>
  <c r="N15" i="23"/>
  <c r="N15" i="15"/>
  <c r="N15" i="14"/>
  <c r="N15" i="13"/>
  <c r="N15" i="11"/>
  <c r="N15" i="22"/>
  <c r="N15" i="21"/>
  <c r="N15" i="19"/>
  <c r="N15" i="10"/>
  <c r="N15" i="8"/>
  <c r="N15" i="18"/>
  <c r="N15" i="17"/>
  <c r="N15" i="16"/>
  <c r="N15" i="7"/>
  <c r="N11" i="2"/>
  <c r="W15" i="14"/>
  <c r="W15" i="21"/>
  <c r="W15" i="8"/>
  <c r="W15" i="15"/>
  <c r="W15" i="9"/>
  <c r="W15" i="24"/>
  <c r="W15" i="13"/>
  <c r="W15" i="19"/>
  <c r="W15" i="18"/>
  <c r="W15" i="23"/>
  <c r="W15" i="11"/>
  <c r="W15" i="10"/>
  <c r="W15" i="17"/>
  <c r="W15" i="7"/>
  <c r="W15" i="22"/>
  <c r="W15" i="16"/>
  <c r="W11" i="2"/>
  <c r="R11" i="2"/>
  <c r="R15" i="24"/>
  <c r="R15" i="15"/>
  <c r="R15" i="13"/>
  <c r="R15" i="22"/>
  <c r="R15" i="19"/>
  <c r="R15" i="9"/>
  <c r="R15" i="18"/>
  <c r="R15" i="16"/>
  <c r="R15" i="14"/>
  <c r="R15" i="11"/>
  <c r="R15" i="21"/>
  <c r="R15" i="10"/>
  <c r="R15" i="8"/>
  <c r="R15" i="17"/>
  <c r="R15" i="7"/>
  <c r="R15" i="23"/>
  <c r="AR15" i="14"/>
  <c r="AR15" i="21"/>
  <c r="AR15" i="8"/>
  <c r="AR15" i="7"/>
  <c r="AR15" i="15"/>
  <c r="AR15" i="22"/>
  <c r="AR15" i="9"/>
  <c r="AR15" i="16"/>
  <c r="AR15" i="23"/>
  <c r="AR15" i="11"/>
  <c r="AR15" i="10"/>
  <c r="AR15" i="17"/>
  <c r="AR15" i="24"/>
  <c r="AR15" i="13"/>
  <c r="AR15" i="19"/>
  <c r="AR15" i="18"/>
  <c r="AR11" i="2"/>
  <c r="V5" i="1"/>
  <c r="V6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6" i="1"/>
  <c r="V4" i="1"/>
</calcChain>
</file>

<file path=xl/sharedStrings.xml><?xml version="1.0" encoding="utf-8"?>
<sst xmlns="http://schemas.openxmlformats.org/spreadsheetml/2006/main" count="1222" uniqueCount="549">
  <si>
    <t>№ п/п</t>
  </si>
  <si>
    <t>ИТОГО</t>
  </si>
  <si>
    <t xml:space="preserve">Наименование </t>
  </si>
  <si>
    <t>Отд. "Милосердие" на 58 чел.</t>
  </si>
  <si>
    <t>Отд. "Милосердие" на 17 чел.</t>
  </si>
  <si>
    <t>Отд. "Милосердие" на 4 чел., (сах.д.)</t>
  </si>
  <si>
    <t>Отд. "Милосердие" на 7 чел.</t>
  </si>
  <si>
    <t>ООТ №1
на 43 чел.</t>
  </si>
  <si>
    <t>ООТ №1
на 31 чел.</t>
  </si>
  <si>
    <t>ООТ №3
на 40 чел.</t>
  </si>
  <si>
    <t>ООТ №3
на 1 чел. 
(сах.д.)</t>
  </si>
  <si>
    <t>ООТ №3       
на 62 чел.</t>
  </si>
  <si>
    <t>ООТ №2
на 55 чел.</t>
  </si>
  <si>
    <t>ООТ №2          3 чел., 
(сах.д.)</t>
  </si>
  <si>
    <t>ООТ №2 
на 19 чел.</t>
  </si>
  <si>
    <t>СРО
на 92 чел.</t>
  </si>
  <si>
    <t>СРО 
на 3 чел., (сах.д.)</t>
  </si>
  <si>
    <t>СРО 
на 14 чел.</t>
  </si>
  <si>
    <t>СРО 
на 32 чел.</t>
  </si>
  <si>
    <t>16 отд ППБ 
на 1 чел.</t>
  </si>
  <si>
    <t>16 отд ППБ 
на 8 чел.</t>
  </si>
  <si>
    <t>ФИО</t>
  </si>
  <si>
    <t>Ед. изм.</t>
  </si>
  <si>
    <t>бут.</t>
  </si>
  <si>
    <t>упак.</t>
  </si>
  <si>
    <t xml:space="preserve">Станки для бритья "Джилет Blue II Maximum" однораз. </t>
  </si>
  <si>
    <t>шт.</t>
  </si>
  <si>
    <t>Мыло хозяйственное 72%  (200 гр.)</t>
  </si>
  <si>
    <t>Колбаса вареная "Докторская" ГОСТ (400 гр.)</t>
  </si>
  <si>
    <t>Чай черный ГОСТ (100 гр.)</t>
  </si>
  <si>
    <t>Вода питьевая негазир. (5 л.)</t>
  </si>
  <si>
    <t>Говядина тушеная ж/б (325 гр. ключ)</t>
  </si>
  <si>
    <t>Ветчина в ассртименте ж/б (325 гр. ключ)</t>
  </si>
  <si>
    <t>Сыр в ассортименте (200 гр.)</t>
  </si>
  <si>
    <t>Печенье сахарное фасованное (200гр.)</t>
  </si>
  <si>
    <t>Колбаса в/к ГОСТ (400 гр.)</t>
  </si>
  <si>
    <t>Мини - рулеты (175 гр.)</t>
  </si>
  <si>
    <t>Освежитель воздуха (200 мл.)</t>
  </si>
  <si>
    <t>Жидкое мыло (200 мл.)</t>
  </si>
  <si>
    <t>Мармелад диабетический на фруктозе (200гр.)</t>
  </si>
  <si>
    <t>Конфеты диабетические (200 гр.)</t>
  </si>
  <si>
    <t>Паштет "Знаток" ж/б (250 гр., ключ)</t>
  </si>
  <si>
    <t>Печенье диабетическое "Мария" (250гр.)</t>
  </si>
  <si>
    <t>Зефир Беково (белый, розовый, 250 гр.)</t>
  </si>
  <si>
    <t>Крекер соленый (180 гр.)</t>
  </si>
  <si>
    <t>Печенье детское Бонди Бегемотик (180 гр.)</t>
  </si>
  <si>
    <t>Паштет HAME из гусиной печени (105 гр.)</t>
  </si>
  <si>
    <t>Паштет HAME с мясом птицы (105 гр.)</t>
  </si>
  <si>
    <t>Паштет HAME с мясом индейки (105 гр.)</t>
  </si>
  <si>
    <t>Мини - кексы (250 гр.)</t>
  </si>
  <si>
    <t>Сыр плавленный "Вкуснотеево" (ванночка, 200 гр.)</t>
  </si>
  <si>
    <t>Зефир в шоколаде Беково (250 гр.)</t>
  </si>
  <si>
    <t>Чай черный пакетированный (25 пак.)</t>
  </si>
  <si>
    <t>Сахар рафинад (500 гр.)</t>
  </si>
  <si>
    <t>Сок в ассортименте (1 л.)</t>
  </si>
  <si>
    <t xml:space="preserve">Вафли в ассортименте (200 гр.) </t>
  </si>
  <si>
    <t>Туалетная бумага "Набережные Челны" (рул.)</t>
  </si>
  <si>
    <t>Шпроты в масле ж/б (160 гр., ключ)</t>
  </si>
  <si>
    <t>Наименование товара</t>
  </si>
  <si>
    <t>ЗАЯВКА</t>
  </si>
  <si>
    <t>Ажнов Юрий Николаевич</t>
  </si>
  <si>
    <t xml:space="preserve">Айвазян Радик Христович                           </t>
  </si>
  <si>
    <t>Артёмов Валерий Николаевич</t>
  </si>
  <si>
    <t xml:space="preserve">Байков Александр Владимирович            </t>
  </si>
  <si>
    <t>Дёмин Иван Андреевич</t>
  </si>
  <si>
    <t>Данишкин Валерий Иванович</t>
  </si>
  <si>
    <t>Кухов Олег Александрович</t>
  </si>
  <si>
    <t>Козлов Алексей Андреевич</t>
  </si>
  <si>
    <t xml:space="preserve">Липин Василий Васильевич                           </t>
  </si>
  <si>
    <t xml:space="preserve">Меньшов Василий Иванович                        </t>
  </si>
  <si>
    <t>Марин Сергей Анатольевич</t>
  </si>
  <si>
    <t>Маврин Александр Алексеевич</t>
  </si>
  <si>
    <t>Наумов Виталий Николаевич</t>
  </si>
  <si>
    <t xml:space="preserve">Пережогин Виталий Петрович                     </t>
  </si>
  <si>
    <t xml:space="preserve">Плеханов Вадим Викторович                       </t>
  </si>
  <si>
    <t>Пензин Петр Андреевич</t>
  </si>
  <si>
    <t>Потапов Петр Степанович</t>
  </si>
  <si>
    <t>Петросян Виктор Вартанович</t>
  </si>
  <si>
    <t>Путютин Борис Анатольевич</t>
  </si>
  <si>
    <t>Ратников Михаил Александрович</t>
  </si>
  <si>
    <t>Рыбчинский Василий Васильевич</t>
  </si>
  <si>
    <t xml:space="preserve">Розмовенко Владислав Михайлович            </t>
  </si>
  <si>
    <t>Ревдов Вячеслав Анатольевич</t>
  </si>
  <si>
    <t xml:space="preserve">Степанов Дмитрий Алексеевич                    </t>
  </si>
  <si>
    <t>Скляров Владимир Владимирович</t>
  </si>
  <si>
    <t xml:space="preserve">Стульников Александр Сергеевич                </t>
  </si>
  <si>
    <t>Теплов Александр Иванович</t>
  </si>
  <si>
    <t>Токарев Алексей Иванович</t>
  </si>
  <si>
    <t>Трещев Николай Викторович</t>
  </si>
  <si>
    <t>Филин Сергей Николаевич</t>
  </si>
  <si>
    <t>Чуйков Валерий Михайлович</t>
  </si>
  <si>
    <t xml:space="preserve">Яваев Рефат Шахмярдянович                     </t>
  </si>
  <si>
    <t>Наименование отделения</t>
  </si>
  <si>
    <t>Количество ПСУ</t>
  </si>
  <si>
    <t>чел.</t>
  </si>
  <si>
    <t>Отд. общего типа №1 (полный)</t>
  </si>
  <si>
    <t>Отд. общего типа №1 (сокращенный)</t>
  </si>
  <si>
    <t>Отд. общего типа №3 (сах. диабет)</t>
  </si>
  <si>
    <t>Отд. общего типа №3 (сокращенный)</t>
  </si>
  <si>
    <t>Отд. общего типа №3 (полный)</t>
  </si>
  <si>
    <t>Соц.-реабилитац отд. (полный)</t>
  </si>
  <si>
    <t>Соц.-реабилитац отд. (сокращенный)</t>
  </si>
  <si>
    <t>Соц.-реабилитац отд. (сах. диабет)</t>
  </si>
  <si>
    <t>16 отд ППБ (полный)</t>
  </si>
  <si>
    <t>16 отд ППБ (сокращенный)</t>
  </si>
  <si>
    <t>СВОДНАЯ ВЕДОМОСТЬ</t>
  </si>
  <si>
    <t>Отд. общего типа №2 (полный)</t>
  </si>
  <si>
    <t>Отд. общего типа №2 (сокращенный)</t>
  </si>
  <si>
    <t>Отд. общего типа №2 (сах. диабет)</t>
  </si>
  <si>
    <t>Алексеев Сергей Борисович</t>
  </si>
  <si>
    <t>Батраков Владимир Анатольевич</t>
  </si>
  <si>
    <t>Белокуров Александр Владимирович</t>
  </si>
  <si>
    <t>Болдарев Сергей Викторович</t>
  </si>
  <si>
    <t>Ванин Сергей Валерьевич</t>
  </si>
  <si>
    <t>Данчев Николай Николаевич</t>
  </si>
  <si>
    <t>Денисов Александр Михайлович</t>
  </si>
  <si>
    <t>Дубровин Александр Егорович</t>
  </si>
  <si>
    <t>Емельянов Максим Сергеевич</t>
  </si>
  <si>
    <t>Еремин Александр Борисович</t>
  </si>
  <si>
    <t>Жидяев Анатолий Александрович</t>
  </si>
  <si>
    <t>Игонин Евгений Николаевич</t>
  </si>
  <si>
    <t>Карталев Александр Алексеевич</t>
  </si>
  <si>
    <t>Киселев Михаил Иванович</t>
  </si>
  <si>
    <t>Климов Дмитрий Петрович</t>
  </si>
  <si>
    <t>Коженков Юрий Анатольевич</t>
  </si>
  <si>
    <t>Кузин Вячеслав Петрович</t>
  </si>
  <si>
    <t>Ларькин Михаил Анатольевич</t>
  </si>
  <si>
    <t>Мальцев Борис Максимович</t>
  </si>
  <si>
    <t>Минцев Виктор Константинович</t>
  </si>
  <si>
    <t>Миняев Виктор Васильевич</t>
  </si>
  <si>
    <t>Митин Виктор Иванович</t>
  </si>
  <si>
    <t>Моисеев Антон Васильевич</t>
  </si>
  <si>
    <t>Новиков Дмитрий Петрович</t>
  </si>
  <si>
    <t>Остудин Василий Дмитриевич</t>
  </si>
  <si>
    <t>Поплевин Виктор Васильевич</t>
  </si>
  <si>
    <t>Ревякин Александр Владимирович</t>
  </si>
  <si>
    <t>Рогожин Иван Васильевич</t>
  </si>
  <si>
    <t>Рыжов Владимир Павлович</t>
  </si>
  <si>
    <t>Савельев Вячеслав Николаевич</t>
  </si>
  <si>
    <t>Селезнев Илья Алексеевич</t>
  </si>
  <si>
    <t>Ситников Виктор Александрович</t>
  </si>
  <si>
    <t>Смирнов Алексей Анатольевич</t>
  </si>
  <si>
    <t>Собачкин Юрий Георгиевич</t>
  </si>
  <si>
    <t>Сергеев Владислав Викторович</t>
  </si>
  <si>
    <t>Титкин Михаил Денисович</t>
  </si>
  <si>
    <t>Фролов Геннадий Владимирович</t>
  </si>
  <si>
    <t>Чертков Василий Николаевич</t>
  </si>
  <si>
    <t>Шмелев Николай Иванович</t>
  </si>
  <si>
    <t>Краснослободцев Сергей Николаевич</t>
  </si>
  <si>
    <t>Колганов Василий Михайлович</t>
  </si>
  <si>
    <t>Цымбалистов Николай Владимирович</t>
  </si>
  <si>
    <t>Азов Владимир Геннадьевич</t>
  </si>
  <si>
    <t>Блохин Федор Михайлович</t>
  </si>
  <si>
    <t>Борисенко Олег Геннадьевич</t>
  </si>
  <si>
    <t>Берестовой Алексей Николаевич</t>
  </si>
  <si>
    <t>Беляков Егор Николаевич</t>
  </si>
  <si>
    <t>Гурин Денис Викторович</t>
  </si>
  <si>
    <t>Доронкин Сергей Николаевич</t>
  </si>
  <si>
    <t>Денисов Александр Юрьевич</t>
  </si>
  <si>
    <t>Журавлев Дмитрий Владимирович</t>
  </si>
  <si>
    <t>Жарков Виталий Павлович</t>
  </si>
  <si>
    <t>Зимнухов Анатолий Валентинович</t>
  </si>
  <si>
    <t>Кочетков Владислав Петрович</t>
  </si>
  <si>
    <t>Крутилин Сергей Никаолаевич</t>
  </si>
  <si>
    <t>Кольцов Григорий Юрьевич</t>
  </si>
  <si>
    <t>Лозко Виктор Васильевич</t>
  </si>
  <si>
    <t>Михайлов Рафик Чулаевич</t>
  </si>
  <si>
    <t>Мордвинкин Николай Константинович</t>
  </si>
  <si>
    <t>Маляренко Григорий Михайлович</t>
  </si>
  <si>
    <t>Минюшкин Олег Борисович</t>
  </si>
  <si>
    <t>Медков Денис Владимирович</t>
  </si>
  <si>
    <t>Надыршин Рустам Загирович</t>
  </si>
  <si>
    <t>Проничкин Николай Алексеевич</t>
  </si>
  <si>
    <t>Прокопенко Вячеслав Геннадьевич</t>
  </si>
  <si>
    <t>Ревенко Дмитрий Дмитриевич</t>
  </si>
  <si>
    <t>Решетников Василий Григорьевич</t>
  </si>
  <si>
    <t>Рогожкин Кирилл Евгеньевич</t>
  </si>
  <si>
    <t>Спасский Олег Николаевич</t>
  </si>
  <si>
    <t>Татаринский Елисей Александрович</t>
  </si>
  <si>
    <t>Федоров Дмитрий Александрович</t>
  </si>
  <si>
    <t>Фурасьев Сергей Алексеевич</t>
  </si>
  <si>
    <t>Федонькин Виктор Сергеевич</t>
  </si>
  <si>
    <t>Федулаев Сергей Николаевич</t>
  </si>
  <si>
    <t>Чистиков Валерий Викторович</t>
  </si>
  <si>
    <t>Шалдаев Игорь Николаевич</t>
  </si>
  <si>
    <t>Шишканов Алексей Евгеньевич</t>
  </si>
  <si>
    <t>Шанин Михаил Викторович</t>
  </si>
  <si>
    <t>Юняев Алексей Равильевич</t>
  </si>
  <si>
    <t>Андрианов Валерий Иванович</t>
  </si>
  <si>
    <t>Вихарев Владимир Александрович</t>
  </si>
  <si>
    <t>Аникин Алексей Алексеевич</t>
  </si>
  <si>
    <t>Барышников Иван Максимович</t>
  </si>
  <si>
    <t>Бобров Владимир Викторович</t>
  </si>
  <si>
    <t>Бухтеев Олег Юрьевич</t>
  </si>
  <si>
    <t>Вахрамов Александр Николаевич</t>
  </si>
  <si>
    <t>Величко Александр Юрьевич</t>
  </si>
  <si>
    <t>Волков Виктор Алексеевич</t>
  </si>
  <si>
    <t>Грачев Михаил Владимирович</t>
  </si>
  <si>
    <t>Губкин Николай Александрович</t>
  </si>
  <si>
    <t>Евстифеев Николай Иванович</t>
  </si>
  <si>
    <t>Ермолаев Сергей Анатольевич</t>
  </si>
  <si>
    <t>Есавкин Евгений Ильич</t>
  </si>
  <si>
    <t>Забнев Андрей Александович</t>
  </si>
  <si>
    <t>Иваньшин Николай Иванович</t>
  </si>
  <si>
    <t>Коваленко Александр Владимирович</t>
  </si>
  <si>
    <t>Лукичев Павел Юрьевич</t>
  </si>
  <si>
    <t>Мадонов Сергей Иванович</t>
  </si>
  <si>
    <t>Морозов Владимир Александрович</t>
  </si>
  <si>
    <t>Подмарев Сергей Евгеньевич</t>
  </si>
  <si>
    <t>Пустов Павел Николаевич</t>
  </si>
  <si>
    <t>Савинов Александр Владимирович</t>
  </si>
  <si>
    <t>Сидорин Роман Николаевич</t>
  </si>
  <si>
    <t>Халиков Вячеслав Мехатгалиевич</t>
  </si>
  <si>
    <t>Швец Александр Алексеевич</t>
  </si>
  <si>
    <t>Гришанцев Павел Борисович</t>
  </si>
  <si>
    <t>Новосельцев Александр Борисович</t>
  </si>
  <si>
    <t>Александров Владимир Викторович</t>
  </si>
  <si>
    <t>Артемов Иван Леонидович</t>
  </si>
  <si>
    <t>Акчурин Руслан Алиевич</t>
  </si>
  <si>
    <t>Бушмин Василий Алексеевич</t>
  </si>
  <si>
    <t>Бугров Алексей Васильевич</t>
  </si>
  <si>
    <t>Варламов Владимир Робертович</t>
  </si>
  <si>
    <t>Ганин Юрий Михайлович</t>
  </si>
  <si>
    <t>Гришин Константин Дмитриевич</t>
  </si>
  <si>
    <t>Григошин Сергей Николаевич</t>
  </si>
  <si>
    <t>Иванус Артур Манцевич</t>
  </si>
  <si>
    <t>Ковалев Анатолий Иванович</t>
  </si>
  <si>
    <t>Кожаев Сергей Федорович</t>
  </si>
  <si>
    <t>Кичеров Даниил Кириллович</t>
  </si>
  <si>
    <t>Малышев Сергей Николаевич</t>
  </si>
  <si>
    <t>Медков Иван Владимирович</t>
  </si>
  <si>
    <t>Неизвестный Александр Михайлович</t>
  </si>
  <si>
    <t>Нестеров Валерий Геннадьевич</t>
  </si>
  <si>
    <t>Основин Виктор Васильевич</t>
  </si>
  <si>
    <t>Павлов Александр Анатольевич</t>
  </si>
  <si>
    <t>Рябухин Андрей Григорьевич</t>
  </si>
  <si>
    <t>Симаков Сергей Викторович</t>
  </si>
  <si>
    <t>Сидоров Александр Николаевич</t>
  </si>
  <si>
    <t>Синюков Владимир Степанович</t>
  </si>
  <si>
    <t>Смирнов Алексей Павлович</t>
  </si>
  <si>
    <t>Сташкевич Сергей Иванович</t>
  </si>
  <si>
    <t>Суханков Валерий Трофимович</t>
  </si>
  <si>
    <t>Усанов Анатолий Петрович</t>
  </si>
  <si>
    <t>Фатигаров Денис Вячеславович</t>
  </si>
  <si>
    <t>Фирсов Анатолий Вячеславович</t>
  </si>
  <si>
    <t>Хмелев Виктор Иванович</t>
  </si>
  <si>
    <t>Шаракин Владимир Михайлович</t>
  </si>
  <si>
    <t>Шадчин Геннадий Александрович</t>
  </si>
  <si>
    <t>Щеглов Сергей Юрьевич</t>
  </si>
  <si>
    <t>Юртаев  Геннадий Федорович</t>
  </si>
  <si>
    <t>Закаткин Виктор Михайлович</t>
  </si>
  <si>
    <t>Зеленков Алексей Алексеевич</t>
  </si>
  <si>
    <t>Кураев Александр Сереевич</t>
  </si>
  <si>
    <t>Нубаев Махмуд Махмудович</t>
  </si>
  <si>
    <t>Саяпин Дмитрий Викторович</t>
  </si>
  <si>
    <t>Улыбышев Александр Анатольевич</t>
  </si>
  <si>
    <t>Хайруллин Дамир Рафкатович</t>
  </si>
  <si>
    <t>Авилов Михаил Олегович</t>
  </si>
  <si>
    <t>Буланов Александр  Викторович</t>
  </si>
  <si>
    <t>Булкин Юрий Иванович</t>
  </si>
  <si>
    <t>Зубков Александр Евгеньевич</t>
  </si>
  <si>
    <t>Круглов Валерий Борисович</t>
  </si>
  <si>
    <t>Мухин Игорь Владимирович</t>
  </si>
  <si>
    <t>Переверзев Александр Олегович</t>
  </si>
  <si>
    <t>Рачков Анатолий Иванович</t>
  </si>
  <si>
    <t>Райский Сергей Борисович</t>
  </si>
  <si>
    <t>Скворцов Виталий Викторович</t>
  </si>
  <si>
    <t>Шатилов Владимир Владимирович</t>
  </si>
  <si>
    <t>Балакин Юрий Александрович</t>
  </si>
  <si>
    <t>Чемоданов Владимир Владимирович</t>
  </si>
  <si>
    <t>Кривов Станислав Всеволодович</t>
  </si>
  <si>
    <t>Разин Анатолий Алексеевич</t>
  </si>
  <si>
    <t>Хутин Юрий Александрович</t>
  </si>
  <si>
    <t>Безека Александр Владимирович</t>
  </si>
  <si>
    <t>Войлочников Олег Викторович</t>
  </si>
  <si>
    <t>Голиков Олег Викторович</t>
  </si>
  <si>
    <t>Моисеев Юрий Иванович</t>
  </si>
  <si>
    <t>Орешкин Олег Николаевич</t>
  </si>
  <si>
    <t>Прилипко Владимир Степанович</t>
  </si>
  <si>
    <t>Сазонов Николай Владимирович</t>
  </si>
  <si>
    <t>Зайцев Сергей Николаевич</t>
  </si>
  <si>
    <t>Лукум Беково (250 гр.)</t>
  </si>
  <si>
    <t>Зажигалка</t>
  </si>
  <si>
    <t>пач.</t>
  </si>
  <si>
    <t>Сигареты с фильтром в пачке (20 сигарет)</t>
  </si>
  <si>
    <t>Месяц</t>
  </si>
  <si>
    <t>Год</t>
  </si>
  <si>
    <t>ГАУСО ПО «Сосновский психоневрологический интернат»</t>
  </si>
  <si>
    <t>на</t>
  </si>
  <si>
    <t>года.</t>
  </si>
  <si>
    <t>на обеспечение продуктами питания и средствами личной гигиены за счет личных средств ПСУ отделения общего типа № 1</t>
  </si>
  <si>
    <t>Составил</t>
  </si>
  <si>
    <t>фио</t>
  </si>
  <si>
    <t>подпись</t>
  </si>
  <si>
    <t>на обеспечение продуктами питания и средствами личной гигиены за счет личных средств ПСУ отделения общего типа № 2</t>
  </si>
  <si>
    <t>на обеспечение продуктами питания и средствами личной гигиены за счет личных средств ПСУ отделения общего типа № 3</t>
  </si>
  <si>
    <t>на обеспечение продуктами питания и средствами личной гигиены за счет личных средств ПСУ социально-реабилитационного отделения</t>
  </si>
  <si>
    <t>на обеспечение продуктами питания и средствами личной гигиены за счет личных средств ПСУ отделения «Милосердие»</t>
  </si>
  <si>
    <t>Конфеты шоколадные фасованные в ассортименте (250 гр.)</t>
  </si>
  <si>
    <t>на обеспечение продуктами питания и средствами личной гигиены за счет личных средств ПСУ ППБ</t>
  </si>
  <si>
    <t>член опекунской комиссии</t>
  </si>
  <si>
    <t>Пена для бритья "АРКО" (200мл)</t>
  </si>
  <si>
    <t>Алимов Андрей Анатольевич</t>
  </si>
  <si>
    <t xml:space="preserve">Емельянов Виктор Николаевич </t>
  </si>
  <si>
    <t>Матурин Марат Абдулхакович</t>
  </si>
  <si>
    <t>Гребенников Глеб Александрович</t>
  </si>
  <si>
    <t>Алатырев Виктор Фёдорович</t>
  </si>
  <si>
    <t>Саратовцев Михаил Юрьевич</t>
  </si>
  <si>
    <t>Отд. «Милосердие» (щадящее питание)</t>
  </si>
  <si>
    <t>Отд. «Милосердие» (полный)</t>
  </si>
  <si>
    <t>Отд. «Милосердие» (сокращенный)</t>
  </si>
  <si>
    <t>Отд. «Милосердие» (сах. диабет)</t>
  </si>
  <si>
    <t xml:space="preserve">на обеспечение продуктами питания и средствами личной гигиены за счет личных средств получателей социальных услуг </t>
  </si>
  <si>
    <t>Дасаев Ряшит Фяритович</t>
  </si>
  <si>
    <t>Беспалов Владимир Михайлович</t>
  </si>
  <si>
    <t>Сысуев Юрий Николаевич</t>
  </si>
  <si>
    <t>Дажин Александр Серафимович</t>
  </si>
  <si>
    <t>Козлов Андрей Анатольевич</t>
  </si>
  <si>
    <t>Тюменцев Роман Юрьевич</t>
  </si>
  <si>
    <t>Туалетная вода, 200 мл</t>
  </si>
  <si>
    <t>Кармеев Камиль Арифжанович</t>
  </si>
  <si>
    <t>Самойлов Андрей Александрович</t>
  </si>
  <si>
    <t>Прияники с начинкой "Яшкино" 250 гр.</t>
  </si>
  <si>
    <t>Консервы рыбные в ассортименте ж/б (230 гр., ключ)</t>
  </si>
  <si>
    <t>Акчурин Ринат Исхакович</t>
  </si>
  <si>
    <t>Заломин Дмитрий Григорьевич</t>
  </si>
  <si>
    <t>Абашин Константин Константинович</t>
  </si>
  <si>
    <t>Арзамасков Алексей Юрьевич</t>
  </si>
  <si>
    <t>Суслов Тарас Аркадьевич</t>
  </si>
  <si>
    <t>Григорьев Валерий Анатольевич</t>
  </si>
  <si>
    <t>Шаронов Леонид Иванович</t>
  </si>
  <si>
    <t>Дементьев Сергей Александрович</t>
  </si>
  <si>
    <t>Лакехин Станислав Олегович</t>
  </si>
  <si>
    <t>Оралин Виктор Львович</t>
  </si>
  <si>
    <t>Цыганенко Валерий Александрович</t>
  </si>
  <si>
    <t>Бахметьев Олег Витальевич</t>
  </si>
  <si>
    <t>Махмудияров Артем Кадырович</t>
  </si>
  <si>
    <t>Гарулин Сергей Владимирович</t>
  </si>
  <si>
    <t>Горшков Олег Николаевич</t>
  </si>
  <si>
    <t>Куприянов Сергей Борисович</t>
  </si>
  <si>
    <t>Мелянченков Игорь Борисович</t>
  </si>
  <si>
    <t>Федин Сергей Петрович</t>
  </si>
  <si>
    <t>Дворянинов Игорь Александрович</t>
  </si>
  <si>
    <t>Жернаков Сергей Александрович</t>
  </si>
  <si>
    <t>Ергаков Александр Иванович</t>
  </si>
  <si>
    <t>Слепов Олег Станиславович</t>
  </si>
  <si>
    <t>Сучилин Андрей Васильевич</t>
  </si>
  <si>
    <t>Швецов Юрий Геннадьевич</t>
  </si>
  <si>
    <t>Цыганов Сергей Евгеньевич</t>
  </si>
  <si>
    <t>Федонькин Виктор Михайлович</t>
  </si>
  <si>
    <t>Туманов Виталий Михайлович</t>
  </si>
  <si>
    <t>Артемов Сергей Николаевич</t>
  </si>
  <si>
    <t>Куцайкин Александр Иванович</t>
  </si>
  <si>
    <t>Слепов Сергей Петрович</t>
  </si>
  <si>
    <t>Мучкаев Дмитрий Евгеньевич</t>
  </si>
  <si>
    <t>Тишкин Сергей Александрович</t>
  </si>
  <si>
    <t>Сычев Михаил Тимофеевич</t>
  </si>
  <si>
    <t>Царапкин Сергей Петрович</t>
  </si>
  <si>
    <t>Лебедев Александр Викторович</t>
  </si>
  <si>
    <t>Елин Павел Павлович</t>
  </si>
  <si>
    <t>Зеленов Алексей Николаевич</t>
  </si>
  <si>
    <t>Лапшов Николай Иванович</t>
  </si>
  <si>
    <t>Панькин Вячеслав Викторович</t>
  </si>
  <si>
    <t>Чупрунов Николай Владимирович</t>
  </si>
  <si>
    <t>Белоногов Дмитрий Юрьевич</t>
  </si>
  <si>
    <t>Лагодзя Олег Викторович</t>
  </si>
  <si>
    <t>Зорин Иван Михайлович</t>
  </si>
  <si>
    <t>Круглов Сергей Михайлович</t>
  </si>
  <si>
    <t>Столяров Виталий Геннадиевич</t>
  </si>
  <si>
    <t>Синявский Александр Александрович</t>
  </si>
  <si>
    <t>Конышкин Александр Викторович</t>
  </si>
  <si>
    <t>Хвастунов Виталий Алексеевич</t>
  </si>
  <si>
    <t>Куменко Александр Алексеевич</t>
  </si>
  <si>
    <t>Ложников Николай Владимирович</t>
  </si>
  <si>
    <t>Цырулев Сергей Владимирович</t>
  </si>
  <si>
    <t>Чопоров Николай Иванович</t>
  </si>
  <si>
    <t>Безяев Сергей Анатольевич</t>
  </si>
  <si>
    <t>Коробов Василий Андреевич</t>
  </si>
  <si>
    <t>Карякин Александр Николаевич</t>
  </si>
  <si>
    <t>Петров Алексей Александрович</t>
  </si>
  <si>
    <t>Коротин Николай Иванович</t>
  </si>
  <si>
    <t>Шишкин Владимир Александрович</t>
  </si>
  <si>
    <t>Семисаженов Владимир Александрович</t>
  </si>
  <si>
    <t>Сазонов Александр Иванович</t>
  </si>
  <si>
    <t>Башкиров Олег Алексеевич</t>
  </si>
  <si>
    <t>Дианов Алексей Владимирович</t>
  </si>
  <si>
    <t>Кашаев Замир Азгатович</t>
  </si>
  <si>
    <t>Елисеев Александр Васильевич</t>
  </si>
  <si>
    <t>Голиков Илья Николаевич</t>
  </si>
  <si>
    <t>Епифанов Владимир Анатольевич</t>
  </si>
  <si>
    <t>Слуцкий Станислав Станиславович</t>
  </si>
  <si>
    <t>Илюшин Станислав Сергеевич</t>
  </si>
  <si>
    <t>Кирсанов Сергей Павлович</t>
  </si>
  <si>
    <t>Джем Махеевъ дой-пак 300 г в ассортименте</t>
  </si>
  <si>
    <t>Килька Балтийская в томтном соусе 240 г ключ</t>
  </si>
  <si>
    <t>Шпильков Александр Германович</t>
  </si>
  <si>
    <t>Анохин Анатолий Павлович</t>
  </si>
  <si>
    <t>Куроносов Петр Васильевич</t>
  </si>
  <si>
    <t>Абдюшев Равиль Касимович</t>
  </si>
  <si>
    <t>Дашкин Ильяс Исмаилович</t>
  </si>
  <si>
    <t>Развозжаев Виктор Васильевич</t>
  </si>
  <si>
    <t>Скачков Андрей Михайлович</t>
  </si>
  <si>
    <t>Горбунов Виктор Александрович</t>
  </si>
  <si>
    <t>Николаев Юрий Борисович</t>
  </si>
  <si>
    <t>Рихмаер Светлана Петровна</t>
  </si>
  <si>
    <t>Кофе растворимый черный в мягкой упаковке Monarch (150 г)</t>
  </si>
  <si>
    <t>Ярви Раймо</t>
  </si>
  <si>
    <t>Платонов Сергей Алексеевич</t>
  </si>
  <si>
    <t>Шкренин Анатолий Дмитриевич</t>
  </si>
  <si>
    <t>Древин Виталий Борисович</t>
  </si>
  <si>
    <t>Рудняев Игорь Владимирович</t>
  </si>
  <si>
    <t>Гуськов Виктор Михайлович</t>
  </si>
  <si>
    <t>Климов Александр Серегевич</t>
  </si>
  <si>
    <t>Купранов Василий Васильевич</t>
  </si>
  <si>
    <t>Самаров Василий Осипович</t>
  </si>
  <si>
    <t>Александров Олег Вячеславович</t>
  </si>
  <si>
    <t>Кантеев Адельша Харичевич</t>
  </si>
  <si>
    <t>Матюшин Станислав Александрович</t>
  </si>
  <si>
    <t>Разудалов Анатолий Сергеевич</t>
  </si>
  <si>
    <t>Стрельцов Сергей Петрович</t>
  </si>
  <si>
    <t>Сережин Алексей Владимирович</t>
  </si>
  <si>
    <t>Баев Вячеслав Викторович</t>
  </si>
  <si>
    <t>Баулин Михаил Владимирович</t>
  </si>
  <si>
    <t>Бушмин Николай Алексеевич</t>
  </si>
  <si>
    <t>Кукольников Владимир Александрович</t>
  </si>
  <si>
    <t>Любавин Владимир Петрович</t>
  </si>
  <si>
    <t>Дурнайкин Евгений Владимирович</t>
  </si>
  <si>
    <t>Левин Сергей Николаевич</t>
  </si>
  <si>
    <t>Левинский Петр Владимирович</t>
  </si>
  <si>
    <t>Лысаков Сергей Викторович</t>
  </si>
  <si>
    <t>Любера Петр Иванович</t>
  </si>
  <si>
    <t>Мамедов Вивади Талжатович</t>
  </si>
  <si>
    <t>Синебогов Александр Анатольевич</t>
  </si>
  <si>
    <t>Теплов Борис Александрович</t>
  </si>
  <si>
    <t>Юмаголов Хамзя Юсупович</t>
  </si>
  <si>
    <t>Осин Николай Иванович</t>
  </si>
  <si>
    <t>Суханов Игорь Анатольевич</t>
  </si>
  <si>
    <t>Федотов Анатолий Николаевич</t>
  </si>
  <si>
    <t>Канцеров Борис Викторович</t>
  </si>
  <si>
    <t>Сизинцев Андрей Александрович</t>
  </si>
  <si>
    <t>Христинин Юрий Николаевич</t>
  </si>
  <si>
    <t>Худин Геннадий Александрович</t>
  </si>
  <si>
    <t>Баянов Юрий Николаевич</t>
  </si>
  <si>
    <t>Фролов Сергей Геннадьевич</t>
  </si>
  <si>
    <t>Апполонов Юрий Сергеевич</t>
  </si>
  <si>
    <t>Бобко Денис Станиславович</t>
  </si>
  <si>
    <t>Волков Сергей Геннадьевич</t>
  </si>
  <si>
    <t>Кензин Геннадий Алексеевич</t>
  </si>
  <si>
    <t>Кензин Михаил Иванович</t>
  </si>
  <si>
    <t>Килеев Николай Александрович</t>
  </si>
  <si>
    <t>Куркаяков Эдуард Гаязович</t>
  </si>
  <si>
    <t>Кожевников Евгений Владимирович</t>
  </si>
  <si>
    <t>Кильдеев Фуать Махмутьевич</t>
  </si>
  <si>
    <t>Мартынов Валерий Иванович</t>
  </si>
  <si>
    <t>Обломов Дмитрий Евгеньевич</t>
  </si>
  <si>
    <t>Павлуткин Алексей Юрьевич</t>
  </si>
  <si>
    <t>Рубцов Андрей Алексеевич</t>
  </si>
  <si>
    <t>Тришин Олег Иванович</t>
  </si>
  <si>
    <t>Шудин Сергей Анатольевич</t>
  </si>
  <si>
    <t>Демочкин Валерий Алексеевич</t>
  </si>
  <si>
    <t>Вишняков Михаил Владимирович</t>
  </si>
  <si>
    <t>Малышев Михаил Александрович</t>
  </si>
  <si>
    <t>Горшунов Павел Владимирович</t>
  </si>
  <si>
    <t>Берестовой Эдуард Николаевич</t>
  </si>
  <si>
    <t>Арюткин Виталий Анатольевич</t>
  </si>
  <si>
    <t>Калтахчан Армен Фелекси</t>
  </si>
  <si>
    <t>Мартяхин Андрей Николаевич</t>
  </si>
  <si>
    <t>Трифонов Игорь Николаевич</t>
  </si>
  <si>
    <t>Белов Петр Игнатьевич</t>
  </si>
  <si>
    <t>Карпунин Юрий Степанович</t>
  </si>
  <si>
    <t>Кучин Алексей Николаевич</t>
  </si>
  <si>
    <t>Сосрокин Иван Петрович</t>
  </si>
  <si>
    <t>Герасимов Александр Геннадьевич</t>
  </si>
  <si>
    <t>Селиверстов Анатолий Алексеевич</t>
  </si>
  <si>
    <t>Калабухов Алексей Федорович</t>
  </si>
  <si>
    <t>Хишев Дмитрий Валерьевич</t>
  </si>
  <si>
    <t>Артемьев Василий Петрович</t>
  </si>
  <si>
    <t>Творогов Владимир Михайлович</t>
  </si>
  <si>
    <t>Рудаков Владимир Геннадьевич</t>
  </si>
  <si>
    <t>Чекмарев Дмитрий Владимирович</t>
  </si>
  <si>
    <t>Солдатов Сергей Александрович</t>
  </si>
  <si>
    <t>Савицкий Михаил Юрьевич</t>
  </si>
  <si>
    <t>Барабанов Владимир Николаевич</t>
  </si>
  <si>
    <t>Мохамад Дин</t>
  </si>
  <si>
    <t>Хухлаев Павел Анатольевич</t>
  </si>
  <si>
    <t>Кузьмеров Владимир Николаевич</t>
  </si>
  <si>
    <t>Зуев Иван Иванович</t>
  </si>
  <si>
    <t>Ковлагин Вадим Сергеевич</t>
  </si>
  <si>
    <t>Лопатинский Александр Константинович</t>
  </si>
  <si>
    <t>Уткин Андрей Анатольевич</t>
  </si>
  <si>
    <t>Рябов Олег Сергеевич</t>
  </si>
  <si>
    <t>Грошев Александр Иванович</t>
  </si>
  <si>
    <t>Дергунов Александр Сергеевич</t>
  </si>
  <si>
    <t>Исаев Кирилл Владимирович</t>
  </si>
  <si>
    <t>Глусцов Александр Владимирович</t>
  </si>
  <si>
    <t>Пимкин Николай Иванович</t>
  </si>
  <si>
    <t>Ромашин Олег Борисович</t>
  </si>
  <si>
    <t>Славкин Алексей Петрович</t>
  </si>
  <si>
    <t>Федякин Вячеслав Владимирович</t>
  </si>
  <si>
    <t>Логачев Михаил Михайлович</t>
  </si>
  <si>
    <t>Куляпин Артем Владимирович</t>
  </si>
  <si>
    <t>Кучкар Ренат Десюпович</t>
  </si>
  <si>
    <t>Полковниченко Николай Васильевич</t>
  </si>
  <si>
    <t>Васильев Сергей Васильевич</t>
  </si>
  <si>
    <t>Калашников Сергей Евгеньевич</t>
  </si>
  <si>
    <t>Нестеров Алексей Александрович</t>
  </si>
  <si>
    <t>Шишин Анатолий Сергеевич</t>
  </si>
  <si>
    <t>Филатов Павел Александрович</t>
  </si>
  <si>
    <t>Екимов Николай Павлович</t>
  </si>
  <si>
    <t>Шулындин Василий Владимирович</t>
  </si>
  <si>
    <t>Сирюшев Петр Васильевич</t>
  </si>
  <si>
    <t>Клычев Владимир Васильевич</t>
  </si>
  <si>
    <t>Январкин Валерий Николаевич</t>
  </si>
  <si>
    <t>Пантюхин Александр Анатольевич</t>
  </si>
  <si>
    <t>Ирышков Виталий Анатольевич</t>
  </si>
  <si>
    <t>Юпатов Евгений Викторович</t>
  </si>
  <si>
    <t>Ватлашов Виталий Владимирович</t>
  </si>
  <si>
    <t>Спирин Михаил Александрович</t>
  </si>
  <si>
    <t>Аббакумов Алексей Александрович</t>
  </si>
  <si>
    <t>Алиев Боговдин Омарович</t>
  </si>
  <si>
    <t>Бочкарев Владимир Петрович</t>
  </si>
  <si>
    <t>Волков Вячеслав Иванович</t>
  </si>
  <si>
    <t>Голяков Владимир Иванович</t>
  </si>
  <si>
    <t>Калугин Владимир Викторович</t>
  </si>
  <si>
    <t>Курносов Александр Алексеевич</t>
  </si>
  <si>
    <t>Кузнецов Константин Викторович</t>
  </si>
  <si>
    <t>Кузнецов Валерий Иванович</t>
  </si>
  <si>
    <t>Макрашин Михаил Дмитриевич</t>
  </si>
  <si>
    <t>Оськин Михаил Леонидович</t>
  </si>
  <si>
    <t>Полозов Александр Николаевич</t>
  </si>
  <si>
    <t>Спирин Виктор Борисович</t>
  </si>
  <si>
    <t>Свинухов Александр Николаевич</t>
  </si>
  <si>
    <t>Смирнов Владимир Александрович</t>
  </si>
  <si>
    <t>Тихонов Валерий Юрьевич</t>
  </si>
  <si>
    <t>Алмакаев Динар Адельшаевич</t>
  </si>
  <si>
    <t>Альбеков Айрат Аббясович</t>
  </si>
  <si>
    <t>Белокопытов Виталий Евгеньевич</t>
  </si>
  <si>
    <t>Ёгинов Иван Николаевич</t>
  </si>
  <si>
    <t>Живаев Александр Павлович</t>
  </si>
  <si>
    <t>Зверев Сергей Владимирович</t>
  </si>
  <si>
    <t>Кантимуллин Рушан Жаферович</t>
  </si>
  <si>
    <t>Курлыкин Артем Владимирович</t>
  </si>
  <si>
    <t>Кузин Алексей Михайлович</t>
  </si>
  <si>
    <t>Рычков Виктор Николаевич</t>
  </si>
  <si>
    <t>Сабитов Ильяс Ахмядиевич</t>
  </si>
  <si>
    <t>Храмов Владимир Николаевич</t>
  </si>
  <si>
    <t>Иванчин Андрей Александрович</t>
  </si>
  <si>
    <t>Искандаров Игорь Ирикович</t>
  </si>
  <si>
    <t>февраль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</si>
</sst>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6"/>
      <color rgb="FF9C57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3" fillId="10" borderId="0" applyNumberFormat="0" applyBorder="0" applyAlignment="0" applyProtection="0"/>
    <xf numFmtId="0" fontId="16" fillId="13" borderId="0" applyNumberFormat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center" textRotation="90" wrapText="1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justify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/>
    <xf numFmtId="0" fontId="4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7" fillId="0" borderId="1" xfId="0" applyFont="1" applyBorder="1" applyAlignment="1" applyProtection="1">
      <alignment horizontal="justify"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11" borderId="15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14" fillId="0" borderId="0" xfId="0" applyFont="1"/>
    <xf numFmtId="0" fontId="15" fillId="10" borderId="10" xfId="1" applyFont="1" applyBorder="1" applyAlignment="1">
      <alignment horizontal="center" vertical="center"/>
    </xf>
    <xf numFmtId="0" fontId="15" fillId="10" borderId="12" xfId="1" applyFont="1" applyBorder="1" applyAlignment="1">
      <alignment horizontal="center" vertical="center" wrapText="1"/>
    </xf>
    <xf numFmtId="0" fontId="15" fillId="10" borderId="4" xfId="1" applyFont="1" applyBorder="1" applyAlignment="1">
      <alignment horizontal="center" vertical="center" wrapText="1"/>
    </xf>
    <xf numFmtId="0" fontId="15" fillId="10" borderId="6" xfId="1" applyFont="1" applyBorder="1" applyAlignment="1">
      <alignment horizontal="center" vertical="center"/>
    </xf>
    <xf numFmtId="0" fontId="15" fillId="10" borderId="0" xfId="1" applyFont="1"/>
    <xf numFmtId="0" fontId="7" fillId="0" borderId="6" xfId="0" applyFont="1" applyBorder="1" applyAlignment="1">
      <alignment vertical="center" wrapText="1"/>
    </xf>
    <xf numFmtId="0" fontId="0" fillId="0" borderId="1" xfId="0" applyBorder="1"/>
    <xf numFmtId="0" fontId="15" fillId="11" borderId="12" xfId="1" applyFont="1" applyFill="1" applyBorder="1" applyAlignment="1">
      <alignment horizontal="center" vertical="center" wrapText="1"/>
    </xf>
    <xf numFmtId="0" fontId="15" fillId="12" borderId="12" xfId="1" applyFont="1" applyFill="1" applyBorder="1" applyAlignment="1">
      <alignment horizontal="center" vertical="center" wrapText="1"/>
    </xf>
    <xf numFmtId="0" fontId="15" fillId="12" borderId="4" xfId="1" applyFont="1" applyFill="1" applyBorder="1" applyAlignment="1">
      <alignment horizontal="center" vertical="center" wrapText="1"/>
    </xf>
    <xf numFmtId="0" fontId="15" fillId="12" borderId="14" xfId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5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justify" vertical="center" wrapText="1"/>
      <protection locked="0"/>
    </xf>
    <xf numFmtId="0" fontId="16" fillId="13" borderId="1" xfId="2" applyBorder="1" applyAlignment="1">
      <alignment horizontal="center" textRotation="90" wrapText="1"/>
    </xf>
    <xf numFmtId="0" fontId="4" fillId="0" borderId="1" xfId="0" applyFont="1" applyBorder="1" applyAlignment="1">
      <alignment horizontal="center"/>
    </xf>
    <xf numFmtId="0" fontId="16" fillId="0" borderId="0" xfId="2" applyFill="1"/>
    <xf numFmtId="0" fontId="16" fillId="13" borderId="1" xfId="2" applyBorder="1" applyAlignment="1">
      <alignment vertical="center" wrapText="1"/>
    </xf>
    <xf numFmtId="0" fontId="16" fillId="13" borderId="4" xfId="2" applyBorder="1" applyAlignment="1">
      <alignment horizontal="center" vertical="center"/>
    </xf>
    <xf numFmtId="0" fontId="16" fillId="13" borderId="1" xfId="2" applyBorder="1" applyAlignment="1">
      <alignment horizontal="center" vertical="center"/>
    </xf>
    <xf numFmtId="0" fontId="16" fillId="13" borderId="0" xfId="2"/>
    <xf numFmtId="0" fontId="6" fillId="6" borderId="6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3" fillId="10" borderId="0" xfId="1"/>
    <xf numFmtId="0" fontId="13" fillId="10" borderId="1" xfId="1" applyBorder="1" applyAlignment="1">
      <alignment vertical="center" wrapText="1"/>
    </xf>
    <xf numFmtId="0" fontId="13" fillId="10" borderId="1" xfId="1" applyBorder="1" applyAlignment="1" applyProtection="1">
      <alignment horizontal="justify" vertical="center" wrapText="1"/>
      <protection locked="0"/>
    </xf>
    <xf numFmtId="0" fontId="16" fillId="13" borderId="6" xfId="2" applyBorder="1" applyAlignment="1">
      <alignment vertical="center" wrapText="1"/>
    </xf>
    <xf numFmtId="0" fontId="13" fillId="10" borderId="6" xfId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 wrapText="1"/>
    </xf>
    <xf numFmtId="0" fontId="15" fillId="10" borderId="5" xfId="1" applyFont="1" applyBorder="1" applyAlignment="1">
      <alignment horizontal="center" vertical="center" textRotation="90"/>
    </xf>
    <xf numFmtId="0" fontId="15" fillId="10" borderId="6" xfId="1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 wrapText="1"/>
    </xf>
  </cellXfs>
  <cellStyles count="3">
    <cellStyle name="Нейтральный" xfId="1" builtinId="28"/>
    <cellStyle name="Обычный" xfId="0" builtinId="0"/>
    <cellStyle name="Хороший" xfId="2" builtinId="26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FFCCCC"/>
      <color rgb="FF66FF99"/>
      <color rgb="FFCCFF66"/>
      <color rgb="FFFFFF99"/>
      <color rgb="FF66FF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152400</xdr:colOff>
      <xdr:row>0</xdr:row>
      <xdr:rowOff>0</xdr:rowOff>
    </xdr:from>
    <xdr:to>
      <xdr:col>46</xdr:col>
      <xdr:colOff>0</xdr:colOff>
      <xdr:row>8</xdr:row>
      <xdr:rowOff>76200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7510760" y="0"/>
          <a:ext cx="2960255" cy="1539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«____»_________2025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476250</xdr:colOff>
      <xdr:row>0</xdr:row>
      <xdr:rowOff>0</xdr:rowOff>
    </xdr:from>
    <xdr:to>
      <xdr:col>44</xdr:col>
      <xdr:colOff>506614</xdr:colOff>
      <xdr:row>9</xdr:row>
      <xdr:rowOff>0</xdr:rowOff>
    </xdr:to>
    <xdr:sp macro="" textlink="">
      <xdr:nvSpPr>
        <xdr:cNvPr id="3" name="Надпись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21897975" y="0"/>
          <a:ext cx="3116464" cy="1619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33619</xdr:colOff>
      <xdr:row>0</xdr:row>
      <xdr:rowOff>0</xdr:rowOff>
    </xdr:from>
    <xdr:to>
      <xdr:col>44</xdr:col>
      <xdr:colOff>506616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22008354" y="0"/>
          <a:ext cx="305035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190500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>
          <a:spLocks noChangeArrowheads="1"/>
        </xdr:cNvSpPr>
      </xdr:nvSpPr>
      <xdr:spPr bwMode="auto">
        <a:xfrm>
          <a:off x="21786273" y="0"/>
          <a:ext cx="3433387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503465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21822900" y="0"/>
          <a:ext cx="308428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108858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>
          <a:spLocks noChangeArrowheads="1"/>
        </xdr:cNvSpPr>
      </xdr:nvSpPr>
      <xdr:spPr bwMode="auto">
        <a:xfrm>
          <a:off x="22152429" y="0"/>
          <a:ext cx="2983115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503464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>
          <a:spLocks noChangeArrowheads="1"/>
        </xdr:cNvSpPr>
      </xdr:nvSpPr>
      <xdr:spPr bwMode="auto">
        <a:xfrm>
          <a:off x="22029964" y="0"/>
          <a:ext cx="310558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381000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21907500" y="0"/>
          <a:ext cx="3228044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13608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>
          <a:spLocks noChangeArrowheads="1"/>
        </xdr:cNvSpPr>
      </xdr:nvSpPr>
      <xdr:spPr bwMode="auto">
        <a:xfrm>
          <a:off x="22057179" y="0"/>
          <a:ext cx="3078365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95250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22138821" y="0"/>
          <a:ext cx="2996723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503464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22029964" y="0"/>
          <a:ext cx="3105580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272143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21798643" y="0"/>
          <a:ext cx="3336901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340179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21866679" y="0"/>
          <a:ext cx="3268865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476250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21485679" y="0"/>
          <a:ext cx="3649865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13607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21540107" y="0"/>
          <a:ext cx="3595437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435428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21444857" y="0"/>
          <a:ext cx="3690687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438150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21832128" y="0"/>
          <a:ext cx="3149596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«____»_________2025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381000</xdr:colOff>
      <xdr:row>0</xdr:row>
      <xdr:rowOff>0</xdr:rowOff>
    </xdr:from>
    <xdr:to>
      <xdr:col>44</xdr:col>
      <xdr:colOff>506615</xdr:colOff>
      <xdr:row>7</xdr:row>
      <xdr:rowOff>171450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21907500" y="0"/>
          <a:ext cx="3228044" cy="1504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«____»_________2024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2;&#1072;&#1088;&#1090;-2024%201&#1086;&#1090;&#107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2;&#1072;&#1088;&#1090;-2024&#1084;&#10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-не смотрим!"/>
      <sheetName val="ЗАЯВКА-не смотрим!"/>
      <sheetName val="Сводная ведомость"/>
      <sheetName val="1-П"/>
      <sheetName val="1-С"/>
      <sheetName val="2-П"/>
      <sheetName val="2-С"/>
      <sheetName val="2-СД"/>
      <sheetName val="3-П"/>
      <sheetName val="3-С"/>
      <sheetName val="3-СД"/>
      <sheetName val="СРО-П"/>
      <sheetName val="СРО-С"/>
      <sheetName val="СРО-СД"/>
      <sheetName val="ОМ-ЩП"/>
      <sheetName val="ОМ-П"/>
      <sheetName val="ОМ-С"/>
      <sheetName val="ОМ-СД"/>
      <sheetName val="ППБ-П"/>
      <sheetName val="ППБ-С"/>
    </sheetNames>
    <sheetDataSet>
      <sheetData sheetId="0">
        <row r="1">
          <cell r="B1" t="str">
            <v>март</v>
          </cell>
        </row>
      </sheetData>
      <sheetData sheetId="1">
        <row r="4">
          <cell r="B4" t="str">
            <v>Вода питьевая негазир. (5 л.)</v>
          </cell>
          <cell r="C4" t="str">
            <v>бут.</v>
          </cell>
        </row>
        <row r="5">
          <cell r="C5" t="str">
            <v>шт.</v>
          </cell>
        </row>
        <row r="6">
          <cell r="C6" t="str">
            <v>упак.</v>
          </cell>
        </row>
        <row r="7">
          <cell r="C7" t="str">
            <v>упак.</v>
          </cell>
        </row>
        <row r="8">
          <cell r="C8" t="str">
            <v>шт.</v>
          </cell>
        </row>
        <row r="9">
          <cell r="C9" t="str">
            <v>шт.</v>
          </cell>
        </row>
        <row r="10">
          <cell r="C10" t="str">
            <v>шт.</v>
          </cell>
        </row>
        <row r="11">
          <cell r="C11" t="str">
            <v>упак.</v>
          </cell>
        </row>
        <row r="12">
          <cell r="C12" t="str">
            <v>шт.</v>
          </cell>
        </row>
        <row r="13">
          <cell r="C13" t="str">
            <v>шт.</v>
          </cell>
        </row>
        <row r="14">
          <cell r="C14" t="str">
            <v>упак.</v>
          </cell>
        </row>
        <row r="15">
          <cell r="C15" t="str">
            <v>шт.</v>
          </cell>
        </row>
        <row r="16">
          <cell r="C16" t="str">
            <v>шт.</v>
          </cell>
        </row>
        <row r="17">
          <cell r="C17" t="str">
            <v>шт.</v>
          </cell>
        </row>
        <row r="18">
          <cell r="C18" t="str">
            <v>шт.</v>
          </cell>
        </row>
        <row r="19">
          <cell r="C19" t="str">
            <v>упак.</v>
          </cell>
        </row>
        <row r="20">
          <cell r="C20" t="str">
            <v>упак.</v>
          </cell>
        </row>
        <row r="21">
          <cell r="C21" t="str">
            <v>шт.</v>
          </cell>
        </row>
        <row r="22">
          <cell r="C22" t="str">
            <v>упак.</v>
          </cell>
        </row>
        <row r="23">
          <cell r="C23" t="str">
            <v>упак.</v>
          </cell>
        </row>
        <row r="24">
          <cell r="C24" t="str">
            <v>шт.</v>
          </cell>
        </row>
        <row r="25">
          <cell r="C25" t="str">
            <v>шт.</v>
          </cell>
        </row>
        <row r="26">
          <cell r="C26" t="str">
            <v>шт.</v>
          </cell>
        </row>
        <row r="27">
          <cell r="C27" t="str">
            <v>упак.</v>
          </cell>
        </row>
        <row r="28">
          <cell r="C28" t="str">
            <v>упак.</v>
          </cell>
        </row>
        <row r="29">
          <cell r="C29" t="str">
            <v>упак.</v>
          </cell>
        </row>
        <row r="30">
          <cell r="C30" t="str">
            <v>шт.</v>
          </cell>
        </row>
        <row r="31">
          <cell r="C31" t="str">
            <v>упак.</v>
          </cell>
        </row>
        <row r="32">
          <cell r="C32" t="str">
            <v>упак.</v>
          </cell>
        </row>
        <row r="33">
          <cell r="C33" t="str">
            <v>упак.</v>
          </cell>
        </row>
        <row r="34">
          <cell r="C34" t="str">
            <v>шт.</v>
          </cell>
        </row>
        <row r="35">
          <cell r="C35" t="str">
            <v>шт.</v>
          </cell>
        </row>
        <row r="36">
          <cell r="C36" t="str">
            <v>шт.</v>
          </cell>
        </row>
        <row r="37">
          <cell r="C37" t="str">
            <v>шт.</v>
          </cell>
        </row>
        <row r="38">
          <cell r="C38" t="str">
            <v>упак.</v>
          </cell>
        </row>
        <row r="39">
          <cell r="C39" t="str">
            <v>шт.</v>
          </cell>
        </row>
        <row r="40">
          <cell r="C40" t="str">
            <v>упак.</v>
          </cell>
        </row>
        <row r="41">
          <cell r="C41" t="str">
            <v>упак.</v>
          </cell>
        </row>
        <row r="42">
          <cell r="C42" t="str">
            <v>шт.</v>
          </cell>
        </row>
        <row r="43">
          <cell r="C43" t="str">
            <v>шт.</v>
          </cell>
        </row>
        <row r="44">
          <cell r="C44" t="str">
            <v>пач.</v>
          </cell>
        </row>
        <row r="45">
          <cell r="C45" t="str">
            <v>шт.</v>
          </cell>
        </row>
        <row r="46">
          <cell r="C46" t="str">
            <v>шт.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-не смотрим!"/>
      <sheetName val="ЗАЯВКА-не смотрим!"/>
      <sheetName val="Сводная ведомость"/>
      <sheetName val="1-П"/>
      <sheetName val="1-С"/>
      <sheetName val="2-П"/>
      <sheetName val="2-С"/>
      <sheetName val="2-СД"/>
      <sheetName val="3-П"/>
      <sheetName val="3-С"/>
      <sheetName val="3-СД"/>
      <sheetName val="СРО-П"/>
      <sheetName val="СРО-С"/>
      <sheetName val="СРО-СД"/>
      <sheetName val="ОМ-ЩП"/>
      <sheetName val="ОМ-П"/>
      <sheetName val="ОМ-С"/>
      <sheetName val="ОМ-СД"/>
      <sheetName val="ППБ-П"/>
      <sheetName val="ППБ-С"/>
    </sheetNames>
    <sheetDataSet>
      <sheetData sheetId="0">
        <row r="1">
          <cell r="B1" t="str">
            <v>март</v>
          </cell>
        </row>
      </sheetData>
      <sheetData sheetId="1">
        <row r="4">
          <cell r="B4" t="str">
            <v>Вода питьевая негазир. (5 л.)</v>
          </cell>
          <cell r="C4" t="str">
            <v>бут.</v>
          </cell>
        </row>
        <row r="5">
          <cell r="C5" t="str">
            <v>шт.</v>
          </cell>
        </row>
        <row r="6">
          <cell r="C6" t="str">
            <v>упак.</v>
          </cell>
        </row>
        <row r="7">
          <cell r="C7" t="str">
            <v>упак.</v>
          </cell>
        </row>
        <row r="8">
          <cell r="C8" t="str">
            <v>шт.</v>
          </cell>
        </row>
        <row r="9">
          <cell r="C9" t="str">
            <v>шт.</v>
          </cell>
        </row>
        <row r="10">
          <cell r="C10" t="str">
            <v>шт.</v>
          </cell>
        </row>
        <row r="11">
          <cell r="C11" t="str">
            <v>упак.</v>
          </cell>
        </row>
        <row r="12">
          <cell r="C12" t="str">
            <v>шт.</v>
          </cell>
        </row>
        <row r="13">
          <cell r="C13" t="str">
            <v>шт.</v>
          </cell>
        </row>
        <row r="14">
          <cell r="C14" t="str">
            <v>упак.</v>
          </cell>
        </row>
        <row r="15">
          <cell r="C15" t="str">
            <v>шт.</v>
          </cell>
        </row>
        <row r="16">
          <cell r="C16" t="str">
            <v>шт.</v>
          </cell>
        </row>
        <row r="17">
          <cell r="C17" t="str">
            <v>шт.</v>
          </cell>
        </row>
        <row r="18">
          <cell r="C18" t="str">
            <v>шт.</v>
          </cell>
        </row>
        <row r="19">
          <cell r="C19" t="str">
            <v>упак.</v>
          </cell>
        </row>
        <row r="20">
          <cell r="C20" t="str">
            <v>упак.</v>
          </cell>
        </row>
        <row r="21">
          <cell r="C21" t="str">
            <v>шт.</v>
          </cell>
        </row>
        <row r="22">
          <cell r="C22" t="str">
            <v>упак.</v>
          </cell>
        </row>
        <row r="23">
          <cell r="C23" t="str">
            <v>упак.</v>
          </cell>
        </row>
        <row r="24">
          <cell r="C24" t="str">
            <v>шт.</v>
          </cell>
        </row>
        <row r="25">
          <cell r="C25" t="str">
            <v>шт.</v>
          </cell>
        </row>
        <row r="26">
          <cell r="C26" t="str">
            <v>шт.</v>
          </cell>
        </row>
        <row r="27">
          <cell r="C27" t="str">
            <v>упак.</v>
          </cell>
        </row>
        <row r="28">
          <cell r="C28" t="str">
            <v>упак.</v>
          </cell>
        </row>
        <row r="29">
          <cell r="C29" t="str">
            <v>упак.</v>
          </cell>
        </row>
        <row r="30">
          <cell r="C30" t="str">
            <v>шт.</v>
          </cell>
        </row>
        <row r="31">
          <cell r="C31" t="str">
            <v>упак.</v>
          </cell>
        </row>
        <row r="32">
          <cell r="C32" t="str">
            <v>упак.</v>
          </cell>
        </row>
        <row r="33">
          <cell r="C33" t="str">
            <v>упак.</v>
          </cell>
        </row>
        <row r="34">
          <cell r="C34" t="str">
            <v>шт.</v>
          </cell>
        </row>
        <row r="35">
          <cell r="C35" t="str">
            <v>шт.</v>
          </cell>
        </row>
        <row r="36">
          <cell r="C36" t="str">
            <v>шт.</v>
          </cell>
        </row>
        <row r="37">
          <cell r="C37" t="str">
            <v>шт.</v>
          </cell>
        </row>
        <row r="38">
          <cell r="C38" t="str">
            <v>упак.</v>
          </cell>
        </row>
        <row r="39">
          <cell r="C39" t="str">
            <v>шт.</v>
          </cell>
        </row>
        <row r="40">
          <cell r="C40" t="str">
            <v>упак.</v>
          </cell>
        </row>
        <row r="41">
          <cell r="C41" t="str">
            <v>упак.</v>
          </cell>
        </row>
        <row r="42">
          <cell r="C42" t="str">
            <v>шт.</v>
          </cell>
        </row>
        <row r="43">
          <cell r="C43" t="str">
            <v>шт.</v>
          </cell>
        </row>
        <row r="44">
          <cell r="C44" t="str">
            <v>пач.</v>
          </cell>
        </row>
        <row r="45">
          <cell r="C45" t="str">
            <v>шт.</v>
          </cell>
        </row>
        <row r="46">
          <cell r="C46" t="str">
            <v>шт.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</cols>
  <sheetData>
    <row r="1" spans="1:2" x14ac:dyDescent="0.25">
      <c r="A1" t="s">
        <v>285</v>
      </c>
      <c r="B1" t="s">
        <v>548</v>
      </c>
    </row>
    <row r="2" spans="1:2" x14ac:dyDescent="0.25">
      <c r="A2" t="s">
        <v>286</v>
      </c>
      <c r="B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499984740745262"/>
  </sheetPr>
  <dimension ref="A3:V47"/>
  <sheetViews>
    <sheetView view="pageBreakPreview" zoomScale="85" zoomScaleNormal="70" zoomScaleSheetLayoutView="85" workbookViewId="0">
      <pane xSplit="2" topLeftCell="C1" activePane="topRight" state="frozen"/>
      <selection pane="topRight" activeCell="B15" sqref="B15"/>
    </sheetView>
  </sheetViews>
  <sheetFormatPr defaultRowHeight="15" x14ac:dyDescent="0.25"/>
  <cols>
    <col min="1" max="1" width="4.5703125" style="1" customWidth="1"/>
    <col min="2" max="2" width="59.42578125" style="2" customWidth="1"/>
    <col min="3" max="3" width="7.7109375" style="2" customWidth="1"/>
    <col min="4" max="21" width="13.28515625" customWidth="1"/>
    <col min="22" max="22" width="13.7109375" customWidth="1"/>
  </cols>
  <sheetData>
    <row r="3" spans="1:22" ht="74.45" customHeight="1" x14ac:dyDescent="0.25">
      <c r="A3" s="4" t="s">
        <v>0</v>
      </c>
      <c r="B3" s="5" t="s">
        <v>2</v>
      </c>
      <c r="C3" s="4" t="s">
        <v>22</v>
      </c>
      <c r="D3" s="6" t="s">
        <v>7</v>
      </c>
      <c r="E3" s="7" t="s">
        <v>8</v>
      </c>
      <c r="F3" s="8" t="s">
        <v>9</v>
      </c>
      <c r="G3" s="8" t="s">
        <v>10</v>
      </c>
      <c r="H3" s="8" t="s">
        <v>11</v>
      </c>
      <c r="I3" s="9" t="s">
        <v>3</v>
      </c>
      <c r="J3" s="9" t="s">
        <v>4</v>
      </c>
      <c r="K3" s="9" t="s">
        <v>5</v>
      </c>
      <c r="L3" s="9" t="s">
        <v>6</v>
      </c>
      <c r="M3" s="10" t="s">
        <v>12</v>
      </c>
      <c r="N3" s="10" t="s">
        <v>13</v>
      </c>
      <c r="O3" s="10" t="s">
        <v>14</v>
      </c>
      <c r="P3" s="11" t="s">
        <v>15</v>
      </c>
      <c r="Q3" s="11" t="s">
        <v>16</v>
      </c>
      <c r="R3" s="11" t="s">
        <v>17</v>
      </c>
      <c r="S3" s="11" t="s">
        <v>18</v>
      </c>
      <c r="T3" s="12" t="s">
        <v>19</v>
      </c>
      <c r="U3" s="12" t="s">
        <v>20</v>
      </c>
      <c r="V3" s="13" t="s">
        <v>1</v>
      </c>
    </row>
    <row r="4" spans="1:22" ht="20.100000000000001" customHeight="1" x14ac:dyDescent="0.25">
      <c r="A4" s="32">
        <v>1</v>
      </c>
      <c r="B4" s="30" t="s">
        <v>30</v>
      </c>
      <c r="C4" s="31" t="s">
        <v>23</v>
      </c>
      <c r="D4" s="14">
        <f>'1-П'!C52</f>
        <v>78</v>
      </c>
      <c r="E4" s="14">
        <v>62</v>
      </c>
      <c r="F4" s="15">
        <v>80</v>
      </c>
      <c r="G4" s="15">
        <v>2</v>
      </c>
      <c r="H4" s="15">
        <v>124</v>
      </c>
      <c r="I4" s="16">
        <v>116</v>
      </c>
      <c r="J4" s="16">
        <v>34</v>
      </c>
      <c r="K4" s="16">
        <v>8</v>
      </c>
      <c r="L4" s="16">
        <v>14</v>
      </c>
      <c r="M4" s="17">
        <v>110</v>
      </c>
      <c r="N4" s="17">
        <v>6</v>
      </c>
      <c r="O4" s="17">
        <v>38</v>
      </c>
      <c r="P4" s="18"/>
      <c r="Q4" s="18">
        <v>6</v>
      </c>
      <c r="R4" s="18">
        <v>28</v>
      </c>
      <c r="S4" s="18">
        <v>64</v>
      </c>
      <c r="T4" s="19"/>
      <c r="U4" s="19"/>
      <c r="V4" s="20">
        <f>SUM(D4:U4)</f>
        <v>770</v>
      </c>
    </row>
    <row r="5" spans="1:22" ht="20.100000000000001" customHeight="1" x14ac:dyDescent="0.25">
      <c r="A5" s="32">
        <v>2</v>
      </c>
      <c r="B5" s="30" t="s">
        <v>56</v>
      </c>
      <c r="C5" s="31" t="s">
        <v>26</v>
      </c>
      <c r="D5" s="14">
        <f>'1-П'!D52</f>
        <v>39</v>
      </c>
      <c r="E5" s="14"/>
      <c r="F5" s="21"/>
      <c r="G5" s="22"/>
      <c r="H5" s="15"/>
      <c r="I5" s="16"/>
      <c r="J5" s="16"/>
      <c r="K5" s="16"/>
      <c r="L5" s="16"/>
      <c r="M5" s="17"/>
      <c r="N5" s="17"/>
      <c r="O5" s="17"/>
      <c r="P5" s="18"/>
      <c r="Q5" s="18"/>
      <c r="R5" s="18"/>
      <c r="S5" s="18"/>
      <c r="T5" s="19">
        <v>1</v>
      </c>
      <c r="U5" s="19">
        <v>16</v>
      </c>
      <c r="V5" s="20">
        <f t="shared" ref="V5:V46" si="0">SUM(D5:U5)</f>
        <v>56</v>
      </c>
    </row>
    <row r="6" spans="1:22" ht="20.100000000000001" customHeight="1" x14ac:dyDescent="0.25">
      <c r="A6" s="32">
        <v>3</v>
      </c>
      <c r="B6" s="30" t="s">
        <v>29</v>
      </c>
      <c r="C6" s="31" t="s">
        <v>24</v>
      </c>
      <c r="D6" s="14">
        <f>'1-П'!C54</f>
        <v>0</v>
      </c>
      <c r="E6" s="14">
        <v>31</v>
      </c>
      <c r="F6" s="15">
        <v>40</v>
      </c>
      <c r="G6" s="15">
        <v>1</v>
      </c>
      <c r="H6" s="15">
        <v>62</v>
      </c>
      <c r="I6" s="16">
        <v>58</v>
      </c>
      <c r="J6" s="16">
        <v>17</v>
      </c>
      <c r="K6" s="16">
        <v>4</v>
      </c>
      <c r="L6" s="16">
        <v>7</v>
      </c>
      <c r="M6" s="17">
        <v>55</v>
      </c>
      <c r="N6" s="17">
        <v>3</v>
      </c>
      <c r="O6" s="17">
        <v>19</v>
      </c>
      <c r="P6" s="18"/>
      <c r="Q6" s="18">
        <v>3</v>
      </c>
      <c r="R6" s="18">
        <v>14</v>
      </c>
      <c r="S6" s="18">
        <v>32</v>
      </c>
      <c r="T6" s="19">
        <v>1</v>
      </c>
      <c r="U6" s="19">
        <v>16</v>
      </c>
      <c r="V6" s="20">
        <f t="shared" si="0"/>
        <v>363</v>
      </c>
    </row>
    <row r="7" spans="1:22" ht="20.100000000000001" customHeight="1" x14ac:dyDescent="0.25">
      <c r="A7" s="32">
        <v>4</v>
      </c>
      <c r="B7" s="30" t="s">
        <v>52</v>
      </c>
      <c r="C7" s="31" t="s">
        <v>24</v>
      </c>
      <c r="D7" s="14">
        <f>'1-П'!C55</f>
        <v>0</v>
      </c>
      <c r="E7" s="14"/>
      <c r="F7" s="15"/>
      <c r="G7" s="15"/>
      <c r="H7" s="15"/>
      <c r="I7" s="16"/>
      <c r="J7" s="16"/>
      <c r="K7" s="16"/>
      <c r="L7" s="16"/>
      <c r="M7" s="17"/>
      <c r="N7" s="17"/>
      <c r="O7" s="17"/>
      <c r="P7" s="18"/>
      <c r="Q7" s="18"/>
      <c r="R7" s="18"/>
      <c r="S7" s="18"/>
      <c r="T7" s="19"/>
      <c r="U7" s="19"/>
      <c r="V7" s="20"/>
    </row>
    <row r="8" spans="1:22" ht="20.100000000000001" customHeight="1" x14ac:dyDescent="0.25">
      <c r="A8" s="32">
        <v>5</v>
      </c>
      <c r="B8" s="30" t="s">
        <v>25</v>
      </c>
      <c r="C8" s="31" t="s">
        <v>26</v>
      </c>
      <c r="D8" s="14" t="str">
        <f>'1-П'!C56</f>
        <v>член опекунской комиссии</v>
      </c>
      <c r="E8" s="14">
        <v>155</v>
      </c>
      <c r="F8" s="15">
        <v>200</v>
      </c>
      <c r="G8" s="15">
        <v>5</v>
      </c>
      <c r="H8" s="15">
        <v>310</v>
      </c>
      <c r="I8" s="16">
        <v>290</v>
      </c>
      <c r="J8" s="16">
        <v>85</v>
      </c>
      <c r="K8" s="16">
        <v>20</v>
      </c>
      <c r="L8" s="16">
        <v>35</v>
      </c>
      <c r="M8" s="17">
        <v>275</v>
      </c>
      <c r="N8" s="17">
        <v>15</v>
      </c>
      <c r="O8" s="17">
        <v>95</v>
      </c>
      <c r="P8" s="18"/>
      <c r="Q8" s="18">
        <v>15</v>
      </c>
      <c r="R8" s="18">
        <v>70</v>
      </c>
      <c r="S8" s="18">
        <v>160</v>
      </c>
      <c r="T8" s="19"/>
      <c r="U8" s="19"/>
      <c r="V8" s="20">
        <f t="shared" si="0"/>
        <v>1730</v>
      </c>
    </row>
    <row r="9" spans="1:22" ht="20.100000000000001" customHeight="1" x14ac:dyDescent="0.25">
      <c r="A9" s="32">
        <v>6</v>
      </c>
      <c r="B9" s="30" t="s">
        <v>31</v>
      </c>
      <c r="C9" s="31" t="s">
        <v>26</v>
      </c>
      <c r="D9" s="14">
        <f>'1-П'!C57</f>
        <v>0</v>
      </c>
      <c r="E9" s="14"/>
      <c r="F9" s="15"/>
      <c r="G9" s="15">
        <v>1</v>
      </c>
      <c r="H9" s="15">
        <v>62</v>
      </c>
      <c r="I9" s="16"/>
      <c r="J9" s="16">
        <v>17</v>
      </c>
      <c r="K9" s="16">
        <v>4</v>
      </c>
      <c r="L9" s="16"/>
      <c r="M9" s="17">
        <v>55</v>
      </c>
      <c r="N9" s="17">
        <v>3</v>
      </c>
      <c r="O9" s="17"/>
      <c r="P9" s="18"/>
      <c r="Q9" s="18">
        <v>3</v>
      </c>
      <c r="R9" s="18"/>
      <c r="S9" s="18">
        <v>32</v>
      </c>
      <c r="T9" s="19"/>
      <c r="U9" s="19"/>
      <c r="V9" s="20">
        <f t="shared" si="0"/>
        <v>177</v>
      </c>
    </row>
    <row r="10" spans="1:22" ht="20.100000000000001" customHeight="1" x14ac:dyDescent="0.25">
      <c r="A10" s="32">
        <v>7</v>
      </c>
      <c r="B10" s="30" t="s">
        <v>28</v>
      </c>
      <c r="C10" s="31" t="s">
        <v>26</v>
      </c>
      <c r="D10" s="14">
        <f>'1-П'!C58</f>
        <v>0</v>
      </c>
      <c r="E10" s="14"/>
      <c r="F10" s="15">
        <v>40</v>
      </c>
      <c r="G10" s="15">
        <v>1</v>
      </c>
      <c r="H10" s="15">
        <v>62</v>
      </c>
      <c r="I10" s="16"/>
      <c r="J10" s="16">
        <v>17</v>
      </c>
      <c r="K10" s="16">
        <v>4</v>
      </c>
      <c r="L10" s="16">
        <v>7</v>
      </c>
      <c r="M10" s="17">
        <v>55</v>
      </c>
      <c r="N10" s="17">
        <v>3</v>
      </c>
      <c r="O10" s="17">
        <v>19</v>
      </c>
      <c r="P10" s="18"/>
      <c r="Q10" s="18">
        <v>3</v>
      </c>
      <c r="R10" s="18">
        <v>14</v>
      </c>
      <c r="S10" s="18">
        <v>32</v>
      </c>
      <c r="T10" s="19"/>
      <c r="U10" s="19"/>
      <c r="V10" s="20">
        <f t="shared" si="0"/>
        <v>257</v>
      </c>
    </row>
    <row r="11" spans="1:22" ht="20.100000000000001" customHeight="1" x14ac:dyDescent="0.25">
      <c r="A11" s="32">
        <v>8</v>
      </c>
      <c r="B11" s="30" t="s">
        <v>43</v>
      </c>
      <c r="C11" s="31" t="s">
        <v>24</v>
      </c>
      <c r="D11" s="14">
        <f>'1-П'!C59</f>
        <v>0</v>
      </c>
      <c r="E11" s="14">
        <v>31</v>
      </c>
      <c r="F11" s="15">
        <v>40</v>
      </c>
      <c r="G11" s="15">
        <v>1</v>
      </c>
      <c r="H11" s="15">
        <v>62</v>
      </c>
      <c r="I11" s="16"/>
      <c r="J11" s="16">
        <v>17</v>
      </c>
      <c r="K11" s="16">
        <v>4</v>
      </c>
      <c r="L11" s="16">
        <v>7</v>
      </c>
      <c r="M11" s="17">
        <v>55</v>
      </c>
      <c r="N11" s="17">
        <v>3</v>
      </c>
      <c r="O11" s="17">
        <v>19</v>
      </c>
      <c r="P11" s="18"/>
      <c r="Q11" s="18">
        <v>3</v>
      </c>
      <c r="R11" s="18">
        <v>14</v>
      </c>
      <c r="S11" s="18">
        <v>32</v>
      </c>
      <c r="T11" s="19"/>
      <c r="U11" s="19">
        <v>8</v>
      </c>
      <c r="V11" s="20">
        <f t="shared" si="0"/>
        <v>296</v>
      </c>
    </row>
    <row r="12" spans="1:22" ht="20.100000000000001" customHeight="1" x14ac:dyDescent="0.25">
      <c r="A12" s="32">
        <v>9</v>
      </c>
      <c r="B12" s="30" t="s">
        <v>32</v>
      </c>
      <c r="C12" s="31" t="s">
        <v>26</v>
      </c>
      <c r="D12" s="14">
        <f>'1-П'!C60</f>
        <v>0</v>
      </c>
      <c r="E12" s="14">
        <v>31</v>
      </c>
      <c r="F12" s="15">
        <v>40</v>
      </c>
      <c r="G12" s="15">
        <v>1</v>
      </c>
      <c r="H12" s="15">
        <v>62</v>
      </c>
      <c r="I12" s="16"/>
      <c r="J12" s="16">
        <v>17</v>
      </c>
      <c r="K12" s="16">
        <v>4</v>
      </c>
      <c r="L12" s="16">
        <v>7</v>
      </c>
      <c r="M12" s="17">
        <v>55</v>
      </c>
      <c r="N12" s="17">
        <v>3</v>
      </c>
      <c r="O12" s="17">
        <v>19</v>
      </c>
      <c r="P12" s="18"/>
      <c r="Q12" s="18">
        <v>3</v>
      </c>
      <c r="R12" s="18">
        <v>14</v>
      </c>
      <c r="S12" s="18">
        <v>32</v>
      </c>
      <c r="T12" s="19"/>
      <c r="U12" s="19"/>
      <c r="V12" s="20">
        <f t="shared" si="0"/>
        <v>288</v>
      </c>
    </row>
    <row r="13" spans="1:22" ht="20.100000000000001" customHeight="1" x14ac:dyDescent="0.25">
      <c r="A13" s="32">
        <v>10</v>
      </c>
      <c r="B13" s="30" t="s">
        <v>33</v>
      </c>
      <c r="C13" s="31" t="s">
        <v>26</v>
      </c>
      <c r="D13" s="14">
        <f>'1-П'!C61</f>
        <v>0</v>
      </c>
      <c r="E13" s="14">
        <v>31</v>
      </c>
      <c r="F13" s="15">
        <v>40</v>
      </c>
      <c r="G13" s="15">
        <v>1</v>
      </c>
      <c r="H13" s="15">
        <v>62</v>
      </c>
      <c r="I13" s="16"/>
      <c r="J13" s="16">
        <v>17</v>
      </c>
      <c r="K13" s="16">
        <v>4</v>
      </c>
      <c r="L13" s="16">
        <v>7</v>
      </c>
      <c r="M13" s="17">
        <v>55</v>
      </c>
      <c r="N13" s="17">
        <v>3</v>
      </c>
      <c r="O13" s="17">
        <v>19</v>
      </c>
      <c r="P13" s="18"/>
      <c r="Q13" s="18">
        <v>3</v>
      </c>
      <c r="R13" s="18">
        <v>14</v>
      </c>
      <c r="S13" s="18">
        <v>32</v>
      </c>
      <c r="T13" s="19">
        <v>1</v>
      </c>
      <c r="U13" s="19">
        <v>16</v>
      </c>
      <c r="V13" s="20">
        <f t="shared" si="0"/>
        <v>305</v>
      </c>
    </row>
    <row r="14" spans="1:22" ht="20.100000000000001" customHeight="1" x14ac:dyDescent="0.25">
      <c r="A14" s="32">
        <v>11</v>
      </c>
      <c r="B14" s="30" t="s">
        <v>55</v>
      </c>
      <c r="C14" s="31" t="s">
        <v>24</v>
      </c>
      <c r="D14" s="14">
        <f>'1-П'!C62</f>
        <v>0</v>
      </c>
      <c r="E14" s="14"/>
      <c r="F14" s="15"/>
      <c r="G14" s="15"/>
      <c r="H14" s="15"/>
      <c r="I14" s="16"/>
      <c r="J14" s="16"/>
      <c r="K14" s="16"/>
      <c r="L14" s="16"/>
      <c r="M14" s="17"/>
      <c r="N14" s="17"/>
      <c r="O14" s="17"/>
      <c r="P14" s="18"/>
      <c r="Q14" s="18"/>
      <c r="R14" s="18"/>
      <c r="S14" s="18"/>
      <c r="T14" s="19">
        <v>1</v>
      </c>
      <c r="U14" s="19">
        <v>8</v>
      </c>
      <c r="V14" s="20">
        <f t="shared" si="0"/>
        <v>9</v>
      </c>
    </row>
    <row r="15" spans="1:22" ht="20.100000000000001" customHeight="1" x14ac:dyDescent="0.25">
      <c r="A15" s="32">
        <v>12</v>
      </c>
      <c r="B15" s="30" t="s">
        <v>405</v>
      </c>
      <c r="C15" s="31" t="s">
        <v>26</v>
      </c>
      <c r="D15" s="14">
        <f>'1-П'!C63</f>
        <v>0</v>
      </c>
      <c r="E15" s="14"/>
      <c r="F15" s="15"/>
      <c r="G15" s="23"/>
      <c r="H15" s="15">
        <v>62</v>
      </c>
      <c r="I15" s="16"/>
      <c r="J15" s="16">
        <v>17</v>
      </c>
      <c r="K15" s="16"/>
      <c r="L15" s="16"/>
      <c r="M15" s="17">
        <v>55</v>
      </c>
      <c r="N15" s="17"/>
      <c r="O15" s="17"/>
      <c r="P15" s="18"/>
      <c r="Q15" s="18"/>
      <c r="R15" s="18"/>
      <c r="S15" s="18">
        <v>32</v>
      </c>
      <c r="T15" s="19">
        <v>1</v>
      </c>
      <c r="U15" s="19">
        <v>16</v>
      </c>
      <c r="V15" s="20">
        <f t="shared" si="0"/>
        <v>183</v>
      </c>
    </row>
    <row r="16" spans="1:22" ht="20.100000000000001" customHeight="1" x14ac:dyDescent="0.25">
      <c r="A16" s="32">
        <v>13</v>
      </c>
      <c r="B16" s="30" t="s">
        <v>393</v>
      </c>
      <c r="C16" s="31" t="s">
        <v>26</v>
      </c>
      <c r="D16" s="14">
        <f>'1-П'!C64</f>
        <v>0</v>
      </c>
      <c r="E16" s="14"/>
      <c r="F16" s="15"/>
      <c r="G16" s="15"/>
      <c r="H16" s="15">
        <v>62</v>
      </c>
      <c r="I16" s="16">
        <v>58</v>
      </c>
      <c r="J16" s="16">
        <v>17</v>
      </c>
      <c r="K16" s="16"/>
      <c r="L16" s="16"/>
      <c r="M16" s="17">
        <v>55</v>
      </c>
      <c r="N16" s="17"/>
      <c r="O16" s="17"/>
      <c r="P16" s="18"/>
      <c r="Q16" s="18"/>
      <c r="R16" s="18"/>
      <c r="S16" s="18">
        <v>32</v>
      </c>
      <c r="T16" s="19"/>
      <c r="U16" s="19"/>
      <c r="V16" s="20">
        <f t="shared" si="0"/>
        <v>224</v>
      </c>
    </row>
    <row r="17" spans="1:22" ht="20.100000000000001" customHeight="1" x14ac:dyDescent="0.25">
      <c r="A17" s="32">
        <v>14</v>
      </c>
      <c r="B17" s="30" t="s">
        <v>35</v>
      </c>
      <c r="C17" s="31" t="s">
        <v>26</v>
      </c>
      <c r="D17" s="14">
        <f>'1-П'!C65</f>
        <v>0</v>
      </c>
      <c r="E17" s="14">
        <v>31</v>
      </c>
      <c r="F17" s="15"/>
      <c r="G17" s="15"/>
      <c r="H17" s="22">
        <v>62</v>
      </c>
      <c r="I17" s="16"/>
      <c r="J17" s="16">
        <v>17</v>
      </c>
      <c r="K17" s="16"/>
      <c r="L17" s="16"/>
      <c r="M17" s="17">
        <v>55</v>
      </c>
      <c r="N17" s="17"/>
      <c r="O17" s="17"/>
      <c r="P17" s="18"/>
      <c r="Q17" s="18"/>
      <c r="R17" s="18"/>
      <c r="S17" s="18">
        <v>32</v>
      </c>
      <c r="T17" s="19"/>
      <c r="U17" s="19"/>
      <c r="V17" s="20">
        <f t="shared" si="0"/>
        <v>197</v>
      </c>
    </row>
    <row r="18" spans="1:22" ht="20.100000000000001" customHeight="1" x14ac:dyDescent="0.25">
      <c r="A18" s="32">
        <v>15</v>
      </c>
      <c r="B18" s="30" t="s">
        <v>57</v>
      </c>
      <c r="C18" s="31" t="s">
        <v>26</v>
      </c>
      <c r="D18" s="14">
        <f>'1-П'!C66</f>
        <v>0</v>
      </c>
      <c r="E18" s="14"/>
      <c r="F18" s="15"/>
      <c r="G18" s="22"/>
      <c r="H18" s="15"/>
      <c r="I18" s="16"/>
      <c r="J18" s="16"/>
      <c r="K18" s="16"/>
      <c r="L18" s="16"/>
      <c r="M18" s="17"/>
      <c r="N18" s="17"/>
      <c r="O18" s="17"/>
      <c r="P18" s="18"/>
      <c r="Q18" s="18"/>
      <c r="R18" s="18"/>
      <c r="S18" s="18"/>
      <c r="T18" s="19"/>
      <c r="U18" s="19">
        <v>8</v>
      </c>
      <c r="V18" s="20">
        <f t="shared" si="0"/>
        <v>8</v>
      </c>
    </row>
    <row r="19" spans="1:22" ht="20.100000000000001" customHeight="1" x14ac:dyDescent="0.25">
      <c r="A19" s="32">
        <v>16</v>
      </c>
      <c r="B19" s="30" t="s">
        <v>322</v>
      </c>
      <c r="C19" s="31" t="s">
        <v>24</v>
      </c>
      <c r="D19" s="14">
        <f>'1-П'!C67</f>
        <v>0</v>
      </c>
      <c r="E19" s="14">
        <v>31</v>
      </c>
      <c r="F19" s="15">
        <v>40</v>
      </c>
      <c r="G19" s="15"/>
      <c r="H19" s="15">
        <v>62</v>
      </c>
      <c r="I19" s="16">
        <v>58</v>
      </c>
      <c r="J19" s="16">
        <v>17</v>
      </c>
      <c r="K19" s="16"/>
      <c r="L19" s="16">
        <v>7</v>
      </c>
      <c r="M19" s="17">
        <v>55</v>
      </c>
      <c r="N19" s="17"/>
      <c r="O19" s="17">
        <v>19</v>
      </c>
      <c r="P19" s="18"/>
      <c r="Q19" s="18"/>
      <c r="R19" s="18">
        <v>14</v>
      </c>
      <c r="S19" s="18">
        <v>32</v>
      </c>
      <c r="T19" s="19"/>
      <c r="U19" s="19"/>
      <c r="V19" s="20">
        <f t="shared" si="0"/>
        <v>335</v>
      </c>
    </row>
    <row r="20" spans="1:22" ht="20.100000000000001" customHeight="1" x14ac:dyDescent="0.25">
      <c r="A20" s="32">
        <v>17</v>
      </c>
      <c r="B20" s="30" t="s">
        <v>36</v>
      </c>
      <c r="C20" s="31" t="s">
        <v>24</v>
      </c>
      <c r="D20" s="14">
        <f>'1-П'!C68</f>
        <v>0</v>
      </c>
      <c r="E20" s="14">
        <v>31</v>
      </c>
      <c r="F20" s="24">
        <v>40</v>
      </c>
      <c r="G20" s="15"/>
      <c r="H20" s="15">
        <v>62</v>
      </c>
      <c r="I20" s="16">
        <v>58</v>
      </c>
      <c r="J20" s="16">
        <v>17</v>
      </c>
      <c r="K20" s="16"/>
      <c r="L20" s="16">
        <v>7</v>
      </c>
      <c r="M20" s="17">
        <v>55</v>
      </c>
      <c r="N20" s="17"/>
      <c r="O20" s="17">
        <v>19</v>
      </c>
      <c r="P20" s="18"/>
      <c r="Q20" s="18"/>
      <c r="R20" s="18">
        <v>14</v>
      </c>
      <c r="S20" s="18">
        <v>32</v>
      </c>
      <c r="T20" s="19"/>
      <c r="U20" s="19"/>
      <c r="V20" s="20">
        <f t="shared" si="0"/>
        <v>335</v>
      </c>
    </row>
    <row r="21" spans="1:22" ht="20.100000000000001" customHeight="1" x14ac:dyDescent="0.25">
      <c r="A21" s="32">
        <v>18</v>
      </c>
      <c r="B21" s="30" t="s">
        <v>27</v>
      </c>
      <c r="C21" s="31" t="s">
        <v>26</v>
      </c>
      <c r="D21" s="14">
        <f>'1-П'!C69</f>
        <v>0</v>
      </c>
      <c r="E21" s="14">
        <v>31</v>
      </c>
      <c r="F21" s="15">
        <v>40</v>
      </c>
      <c r="G21" s="15">
        <v>1</v>
      </c>
      <c r="H21" s="15">
        <v>62</v>
      </c>
      <c r="I21" s="16">
        <v>58</v>
      </c>
      <c r="J21" s="16">
        <v>17</v>
      </c>
      <c r="K21" s="16">
        <v>4</v>
      </c>
      <c r="L21" s="16">
        <v>7</v>
      </c>
      <c r="M21" s="17">
        <v>55</v>
      </c>
      <c r="N21" s="17">
        <v>3</v>
      </c>
      <c r="O21" s="17">
        <v>19</v>
      </c>
      <c r="P21" s="18">
        <v>92</v>
      </c>
      <c r="Q21" s="18"/>
      <c r="R21" s="18"/>
      <c r="S21" s="18"/>
      <c r="T21" s="19"/>
      <c r="U21" s="19"/>
      <c r="V21" s="20">
        <f t="shared" si="0"/>
        <v>389</v>
      </c>
    </row>
    <row r="22" spans="1:22" ht="20.100000000000001" customHeight="1" x14ac:dyDescent="0.25">
      <c r="A22" s="32">
        <v>19</v>
      </c>
      <c r="B22" s="30" t="s">
        <v>298</v>
      </c>
      <c r="C22" s="31" t="s">
        <v>24</v>
      </c>
      <c r="D22" s="14">
        <f>'1-П'!C70</f>
        <v>0</v>
      </c>
      <c r="E22" s="14"/>
      <c r="F22" s="15"/>
      <c r="G22" s="15"/>
      <c r="H22" s="15">
        <v>62</v>
      </c>
      <c r="I22" s="16"/>
      <c r="J22" s="16">
        <v>17</v>
      </c>
      <c r="K22" s="16"/>
      <c r="L22" s="16"/>
      <c r="M22" s="17">
        <v>55</v>
      </c>
      <c r="N22" s="17"/>
      <c r="O22" s="17"/>
      <c r="P22" s="18"/>
      <c r="Q22" s="18"/>
      <c r="R22" s="18"/>
      <c r="S22" s="18">
        <v>32</v>
      </c>
      <c r="T22" s="19"/>
      <c r="U22" s="19">
        <v>8</v>
      </c>
      <c r="V22" s="20">
        <f t="shared" si="0"/>
        <v>174</v>
      </c>
    </row>
    <row r="23" spans="1:22" ht="20.100000000000001" customHeight="1" x14ac:dyDescent="0.25">
      <c r="A23" s="32">
        <v>20</v>
      </c>
      <c r="B23" s="30" t="s">
        <v>34</v>
      </c>
      <c r="C23" s="31" t="s">
        <v>24</v>
      </c>
      <c r="D23" s="14">
        <f>'1-П'!C71</f>
        <v>0</v>
      </c>
      <c r="E23" s="14"/>
      <c r="F23" s="15"/>
      <c r="G23" s="15"/>
      <c r="H23" s="15">
        <v>62</v>
      </c>
      <c r="I23" s="16"/>
      <c r="J23" s="16">
        <v>17</v>
      </c>
      <c r="K23" s="16"/>
      <c r="L23" s="16"/>
      <c r="M23" s="17">
        <v>55</v>
      </c>
      <c r="N23" s="17"/>
      <c r="O23" s="17"/>
      <c r="P23" s="18"/>
      <c r="Q23" s="18"/>
      <c r="R23" s="18"/>
      <c r="S23" s="18">
        <v>32</v>
      </c>
      <c r="T23" s="19"/>
      <c r="U23" s="19"/>
      <c r="V23" s="20">
        <f t="shared" si="0"/>
        <v>166</v>
      </c>
    </row>
    <row r="24" spans="1:22" ht="20.100000000000001" customHeight="1" x14ac:dyDescent="0.25">
      <c r="A24" s="32">
        <v>21</v>
      </c>
      <c r="B24" s="30" t="s">
        <v>323</v>
      </c>
      <c r="C24" s="31" t="s">
        <v>26</v>
      </c>
      <c r="D24" s="14">
        <f>'1-П'!C72</f>
        <v>0</v>
      </c>
      <c r="E24" s="14">
        <v>31</v>
      </c>
      <c r="F24" s="15">
        <v>40</v>
      </c>
      <c r="G24" s="15">
        <v>1</v>
      </c>
      <c r="H24" s="15">
        <v>62</v>
      </c>
      <c r="I24" s="16"/>
      <c r="J24" s="16">
        <v>17</v>
      </c>
      <c r="K24" s="16">
        <v>4</v>
      </c>
      <c r="L24" s="16">
        <v>7</v>
      </c>
      <c r="M24" s="17">
        <v>55</v>
      </c>
      <c r="N24" s="17">
        <v>3</v>
      </c>
      <c r="O24" s="17">
        <v>19</v>
      </c>
      <c r="P24" s="18"/>
      <c r="Q24" s="18">
        <v>3</v>
      </c>
      <c r="R24" s="18">
        <v>14</v>
      </c>
      <c r="S24" s="18">
        <v>32</v>
      </c>
      <c r="T24" s="19"/>
      <c r="U24" s="19"/>
      <c r="V24" s="20">
        <f t="shared" si="0"/>
        <v>288</v>
      </c>
    </row>
    <row r="25" spans="1:22" ht="20.100000000000001" customHeight="1" x14ac:dyDescent="0.25">
      <c r="A25" s="32">
        <v>22</v>
      </c>
      <c r="B25" s="30" t="s">
        <v>37</v>
      </c>
      <c r="C25" s="31" t="s">
        <v>26</v>
      </c>
      <c r="D25" s="14">
        <f>'1-П'!C73</f>
        <v>0</v>
      </c>
      <c r="E25" s="14"/>
      <c r="F25" s="15"/>
      <c r="G25" s="15"/>
      <c r="H25" s="15">
        <v>62</v>
      </c>
      <c r="I25" s="16">
        <v>58</v>
      </c>
      <c r="J25" s="16">
        <v>17</v>
      </c>
      <c r="K25" s="16"/>
      <c r="L25" s="16"/>
      <c r="M25" s="17">
        <v>55</v>
      </c>
      <c r="N25" s="17"/>
      <c r="O25" s="17"/>
      <c r="P25" s="18"/>
      <c r="Q25" s="18"/>
      <c r="R25" s="18"/>
      <c r="S25" s="18">
        <v>32</v>
      </c>
      <c r="T25" s="19"/>
      <c r="U25" s="19"/>
      <c r="V25" s="20">
        <f t="shared" si="0"/>
        <v>224</v>
      </c>
    </row>
    <row r="26" spans="1:22" ht="20.100000000000001" customHeight="1" x14ac:dyDescent="0.25">
      <c r="A26" s="32">
        <v>23</v>
      </c>
      <c r="B26" s="30" t="s">
        <v>38</v>
      </c>
      <c r="C26" s="31" t="s">
        <v>26</v>
      </c>
      <c r="D26" s="14">
        <f>'1-П'!C74</f>
        <v>0</v>
      </c>
      <c r="E26" s="14"/>
      <c r="F26" s="15"/>
      <c r="G26" s="15">
        <v>1</v>
      </c>
      <c r="H26" s="15">
        <v>62</v>
      </c>
      <c r="I26" s="16">
        <v>58</v>
      </c>
      <c r="J26" s="16">
        <v>17</v>
      </c>
      <c r="K26" s="16">
        <v>4</v>
      </c>
      <c r="L26" s="16"/>
      <c r="M26" s="17">
        <v>55</v>
      </c>
      <c r="N26" s="17">
        <v>3</v>
      </c>
      <c r="O26" s="17"/>
      <c r="P26" s="18"/>
      <c r="Q26" s="18">
        <v>3</v>
      </c>
      <c r="R26" s="18"/>
      <c r="S26" s="18">
        <v>32</v>
      </c>
      <c r="T26" s="19"/>
      <c r="U26" s="19"/>
      <c r="V26" s="20">
        <f t="shared" si="0"/>
        <v>235</v>
      </c>
    </row>
    <row r="27" spans="1:22" ht="20.100000000000001" customHeight="1" x14ac:dyDescent="0.25">
      <c r="A27" s="32">
        <v>24</v>
      </c>
      <c r="B27" s="30" t="s">
        <v>281</v>
      </c>
      <c r="C27" s="31" t="s">
        <v>24</v>
      </c>
      <c r="D27" s="14">
        <f>'1-П'!C75</f>
        <v>0</v>
      </c>
      <c r="E27" s="14"/>
      <c r="F27" s="15"/>
      <c r="G27" s="15">
        <v>1</v>
      </c>
      <c r="H27" s="15"/>
      <c r="I27" s="16"/>
      <c r="J27" s="16"/>
      <c r="K27" s="16">
        <v>4</v>
      </c>
      <c r="L27" s="16"/>
      <c r="M27" s="17"/>
      <c r="N27" s="17">
        <v>3</v>
      </c>
      <c r="O27" s="17"/>
      <c r="P27" s="18"/>
      <c r="Q27" s="18">
        <v>3</v>
      </c>
      <c r="R27" s="18"/>
      <c r="S27" s="18"/>
      <c r="T27" s="19"/>
      <c r="U27" s="19"/>
      <c r="V27" s="20">
        <f t="shared" si="0"/>
        <v>11</v>
      </c>
    </row>
    <row r="28" spans="1:22" ht="20.100000000000001" customHeight="1" x14ac:dyDescent="0.25">
      <c r="A28" s="32">
        <v>25</v>
      </c>
      <c r="B28" s="30" t="s">
        <v>39</v>
      </c>
      <c r="C28" s="31" t="s">
        <v>24</v>
      </c>
      <c r="D28" s="14">
        <f>'1-П'!C76</f>
        <v>0</v>
      </c>
      <c r="E28" s="14"/>
      <c r="F28" s="15"/>
      <c r="G28" s="15">
        <v>1</v>
      </c>
      <c r="H28" s="15"/>
      <c r="I28" s="16"/>
      <c r="J28" s="16"/>
      <c r="K28" s="16">
        <v>4</v>
      </c>
      <c r="L28" s="16"/>
      <c r="M28" s="17"/>
      <c r="N28" s="17">
        <v>3</v>
      </c>
      <c r="O28" s="17"/>
      <c r="P28" s="18"/>
      <c r="Q28" s="18">
        <v>3</v>
      </c>
      <c r="R28" s="18"/>
      <c r="S28" s="18"/>
      <c r="T28" s="19"/>
      <c r="U28" s="19"/>
      <c r="V28" s="20">
        <f t="shared" si="0"/>
        <v>11</v>
      </c>
    </row>
    <row r="29" spans="1:22" ht="20.100000000000001" customHeight="1" x14ac:dyDescent="0.25">
      <c r="A29" s="32">
        <v>26</v>
      </c>
      <c r="B29" s="30" t="s">
        <v>40</v>
      </c>
      <c r="C29" s="31" t="s">
        <v>24</v>
      </c>
      <c r="D29" s="14">
        <f>'1-П'!C77</f>
        <v>0</v>
      </c>
      <c r="E29" s="14"/>
      <c r="F29" s="15"/>
      <c r="G29" s="15">
        <v>1</v>
      </c>
      <c r="H29" s="15"/>
      <c r="I29" s="16"/>
      <c r="J29" s="16"/>
      <c r="K29" s="16">
        <v>4</v>
      </c>
      <c r="L29" s="16"/>
      <c r="M29" s="17"/>
      <c r="N29" s="17">
        <v>3</v>
      </c>
      <c r="O29" s="17"/>
      <c r="P29" s="18"/>
      <c r="Q29" s="18">
        <v>3</v>
      </c>
      <c r="R29" s="18"/>
      <c r="S29" s="18"/>
      <c r="T29" s="19"/>
      <c r="U29" s="19"/>
      <c r="V29" s="20">
        <f t="shared" si="0"/>
        <v>11</v>
      </c>
    </row>
    <row r="30" spans="1:22" ht="20.100000000000001" customHeight="1" x14ac:dyDescent="0.25">
      <c r="A30" s="32">
        <v>27</v>
      </c>
      <c r="B30" s="30" t="s">
        <v>41</v>
      </c>
      <c r="C30" s="31" t="s">
        <v>26</v>
      </c>
      <c r="D30" s="14">
        <f>'1-П'!C78</f>
        <v>0</v>
      </c>
      <c r="E30" s="14"/>
      <c r="F30" s="15"/>
      <c r="G30" s="15">
        <v>1</v>
      </c>
      <c r="H30" s="15"/>
      <c r="I30" s="16"/>
      <c r="J30" s="16"/>
      <c r="K30" s="16">
        <v>4</v>
      </c>
      <c r="L30" s="16"/>
      <c r="M30" s="17"/>
      <c r="N30" s="17">
        <v>3</v>
      </c>
      <c r="O30" s="17"/>
      <c r="P30" s="18"/>
      <c r="Q30" s="18">
        <v>3</v>
      </c>
      <c r="R30" s="18"/>
      <c r="S30" s="18"/>
      <c r="T30" s="19"/>
      <c r="U30" s="19"/>
      <c r="V30" s="20">
        <f t="shared" si="0"/>
        <v>11</v>
      </c>
    </row>
    <row r="31" spans="1:22" ht="20.100000000000001" customHeight="1" x14ac:dyDescent="0.25">
      <c r="A31" s="32">
        <v>28</v>
      </c>
      <c r="B31" s="30" t="s">
        <v>42</v>
      </c>
      <c r="C31" s="31" t="s">
        <v>24</v>
      </c>
      <c r="D31" s="14">
        <f>'1-П'!C79</f>
        <v>0</v>
      </c>
      <c r="E31" s="14"/>
      <c r="F31" s="15"/>
      <c r="G31" s="15">
        <v>1</v>
      </c>
      <c r="H31" s="15"/>
      <c r="I31" s="16"/>
      <c r="J31" s="16"/>
      <c r="K31" s="16">
        <v>4</v>
      </c>
      <c r="L31" s="16"/>
      <c r="M31" s="17"/>
      <c r="N31" s="17">
        <v>3</v>
      </c>
      <c r="O31" s="17"/>
      <c r="P31" s="18"/>
      <c r="Q31" s="18">
        <v>3</v>
      </c>
      <c r="R31" s="18"/>
      <c r="S31" s="18"/>
      <c r="T31" s="19"/>
      <c r="U31" s="19"/>
      <c r="V31" s="20">
        <f t="shared" si="0"/>
        <v>11</v>
      </c>
    </row>
    <row r="32" spans="1:22" ht="20.100000000000001" customHeight="1" x14ac:dyDescent="0.25">
      <c r="A32" s="32">
        <v>29</v>
      </c>
      <c r="B32" s="35" t="s">
        <v>44</v>
      </c>
      <c r="C32" s="36" t="s">
        <v>24</v>
      </c>
      <c r="D32" s="14">
        <f>'1-П'!C80</f>
        <v>0</v>
      </c>
      <c r="E32" s="14"/>
      <c r="F32" s="15"/>
      <c r="G32" s="15">
        <v>1</v>
      </c>
      <c r="H32" s="15"/>
      <c r="I32" s="16"/>
      <c r="J32" s="16"/>
      <c r="K32" s="16">
        <v>4</v>
      </c>
      <c r="L32" s="16"/>
      <c r="M32" s="17"/>
      <c r="N32" s="17">
        <v>3</v>
      </c>
      <c r="O32" s="17"/>
      <c r="P32" s="18"/>
      <c r="Q32" s="18">
        <v>3</v>
      </c>
      <c r="R32" s="18"/>
      <c r="S32" s="18"/>
      <c r="T32" s="19"/>
      <c r="U32" s="19"/>
      <c r="V32" s="20">
        <f t="shared" si="0"/>
        <v>11</v>
      </c>
    </row>
    <row r="33" spans="1:22" ht="20.100000000000001" customHeight="1" x14ac:dyDescent="0.25">
      <c r="A33" s="32">
        <v>30</v>
      </c>
      <c r="B33" s="30" t="s">
        <v>45</v>
      </c>
      <c r="C33" s="31" t="s">
        <v>24</v>
      </c>
      <c r="D33" s="14">
        <f>'1-П'!C81</f>
        <v>0</v>
      </c>
      <c r="E33" s="14"/>
      <c r="F33" s="15"/>
      <c r="G33" s="15"/>
      <c r="H33" s="15"/>
      <c r="I33" s="16">
        <v>58</v>
      </c>
      <c r="J33" s="16"/>
      <c r="K33" s="16"/>
      <c r="L33" s="16"/>
      <c r="M33" s="17"/>
      <c r="N33" s="17"/>
      <c r="O33" s="17"/>
      <c r="P33" s="18"/>
      <c r="Q33" s="18"/>
      <c r="R33" s="18"/>
      <c r="S33" s="18"/>
      <c r="T33" s="19"/>
      <c r="U33" s="19"/>
      <c r="V33" s="20">
        <f t="shared" si="0"/>
        <v>58</v>
      </c>
    </row>
    <row r="34" spans="1:22" ht="20.100000000000001" customHeight="1" x14ac:dyDescent="0.25">
      <c r="A34" s="32">
        <v>31</v>
      </c>
      <c r="B34" s="30" t="s">
        <v>394</v>
      </c>
      <c r="C34" s="31" t="s">
        <v>26</v>
      </c>
      <c r="D34" s="14">
        <f>'1-П'!C82</f>
        <v>0</v>
      </c>
      <c r="E34" s="14"/>
      <c r="F34" s="15"/>
      <c r="G34" s="15"/>
      <c r="H34" s="15"/>
      <c r="I34" s="16">
        <v>58</v>
      </c>
      <c r="J34" s="16"/>
      <c r="K34" s="16"/>
      <c r="L34" s="16"/>
      <c r="M34" s="17"/>
      <c r="N34" s="17"/>
      <c r="O34" s="17"/>
      <c r="P34" s="18"/>
      <c r="Q34" s="18"/>
      <c r="R34" s="18"/>
      <c r="S34" s="18"/>
      <c r="T34" s="19"/>
      <c r="U34" s="19"/>
      <c r="V34" s="20">
        <f t="shared" si="0"/>
        <v>58</v>
      </c>
    </row>
    <row r="35" spans="1:22" ht="20.100000000000001" customHeight="1" x14ac:dyDescent="0.25">
      <c r="A35" s="32">
        <v>32</v>
      </c>
      <c r="B35" s="30" t="s">
        <v>46</v>
      </c>
      <c r="C35" s="31" t="s">
        <v>26</v>
      </c>
      <c r="D35" s="14">
        <f>'1-П'!C83</f>
        <v>0</v>
      </c>
      <c r="E35" s="14"/>
      <c r="F35" s="15"/>
      <c r="G35" s="15"/>
      <c r="H35" s="15"/>
      <c r="I35" s="16">
        <v>58</v>
      </c>
      <c r="J35" s="16"/>
      <c r="K35" s="16"/>
      <c r="L35" s="16"/>
      <c r="M35" s="17"/>
      <c r="N35" s="17"/>
      <c r="O35" s="17"/>
      <c r="P35" s="18"/>
      <c r="Q35" s="18"/>
      <c r="R35" s="18"/>
      <c r="S35" s="18"/>
      <c r="T35" s="19"/>
      <c r="U35" s="19"/>
      <c r="V35" s="20">
        <f t="shared" si="0"/>
        <v>58</v>
      </c>
    </row>
    <row r="36" spans="1:22" ht="20.100000000000001" customHeight="1" x14ac:dyDescent="0.25">
      <c r="A36" s="32">
        <v>33</v>
      </c>
      <c r="B36" s="30" t="s">
        <v>47</v>
      </c>
      <c r="C36" s="31" t="s">
        <v>26</v>
      </c>
      <c r="D36" s="14">
        <f>'1-П'!C84</f>
        <v>0</v>
      </c>
      <c r="E36" s="14"/>
      <c r="F36" s="15"/>
      <c r="G36" s="15"/>
      <c r="H36" s="15"/>
      <c r="I36" s="16">
        <v>58</v>
      </c>
      <c r="J36" s="16"/>
      <c r="K36" s="16"/>
      <c r="L36" s="16"/>
      <c r="M36" s="17"/>
      <c r="N36" s="17"/>
      <c r="O36" s="17"/>
      <c r="P36" s="18"/>
      <c r="Q36" s="18"/>
      <c r="R36" s="18"/>
      <c r="S36" s="18"/>
      <c r="T36" s="19"/>
      <c r="U36" s="19"/>
      <c r="V36" s="20">
        <f t="shared" si="0"/>
        <v>58</v>
      </c>
    </row>
    <row r="37" spans="1:22" ht="20.100000000000001" customHeight="1" x14ac:dyDescent="0.25">
      <c r="A37" s="32">
        <v>34</v>
      </c>
      <c r="B37" s="30" t="s">
        <v>48</v>
      </c>
      <c r="C37" s="31" t="s">
        <v>26</v>
      </c>
      <c r="D37" s="14">
        <f>'1-П'!C85</f>
        <v>0</v>
      </c>
      <c r="E37" s="14"/>
      <c r="F37" s="15"/>
      <c r="G37" s="15"/>
      <c r="H37" s="15"/>
      <c r="I37" s="16">
        <v>58</v>
      </c>
      <c r="J37" s="16"/>
      <c r="K37" s="16"/>
      <c r="L37" s="16"/>
      <c r="M37" s="17"/>
      <c r="N37" s="17"/>
      <c r="O37" s="17"/>
      <c r="P37" s="18"/>
      <c r="Q37" s="18"/>
      <c r="R37" s="18"/>
      <c r="S37" s="18"/>
      <c r="T37" s="19"/>
      <c r="U37" s="19"/>
      <c r="V37" s="20">
        <f t="shared" si="0"/>
        <v>58</v>
      </c>
    </row>
    <row r="38" spans="1:22" ht="20.100000000000001" customHeight="1" x14ac:dyDescent="0.25">
      <c r="A38" s="32">
        <v>35</v>
      </c>
      <c r="B38" s="30" t="s">
        <v>49</v>
      </c>
      <c r="C38" s="31" t="s">
        <v>24</v>
      </c>
      <c r="D38" s="14">
        <f>'1-П'!C86</f>
        <v>0</v>
      </c>
      <c r="E38" s="14"/>
      <c r="F38" s="15"/>
      <c r="G38" s="15"/>
      <c r="H38" s="15"/>
      <c r="I38" s="16">
        <v>58</v>
      </c>
      <c r="J38" s="16"/>
      <c r="K38" s="16"/>
      <c r="L38" s="16"/>
      <c r="M38" s="17"/>
      <c r="N38" s="17"/>
      <c r="O38" s="17"/>
      <c r="P38" s="18"/>
      <c r="Q38" s="18"/>
      <c r="R38" s="18"/>
      <c r="S38" s="18"/>
      <c r="T38" s="19"/>
      <c r="U38" s="19">
        <v>8</v>
      </c>
      <c r="V38" s="20">
        <f t="shared" si="0"/>
        <v>66</v>
      </c>
    </row>
    <row r="39" spans="1:22" ht="20.100000000000001" customHeight="1" x14ac:dyDescent="0.25">
      <c r="A39" s="32">
        <v>36</v>
      </c>
      <c r="B39" s="30" t="s">
        <v>50</v>
      </c>
      <c r="C39" s="31" t="s">
        <v>26</v>
      </c>
      <c r="D39" s="14">
        <f>'1-П'!C87</f>
        <v>0</v>
      </c>
      <c r="E39" s="14"/>
      <c r="F39" s="15"/>
      <c r="G39" s="15"/>
      <c r="H39" s="15"/>
      <c r="I39" s="16">
        <v>58</v>
      </c>
      <c r="J39" s="16"/>
      <c r="K39" s="16"/>
      <c r="L39" s="16"/>
      <c r="M39" s="17"/>
      <c r="N39" s="17"/>
      <c r="O39" s="17"/>
      <c r="P39" s="18"/>
      <c r="Q39" s="18"/>
      <c r="R39" s="18"/>
      <c r="S39" s="18"/>
      <c r="T39" s="19"/>
      <c r="U39" s="19"/>
      <c r="V39" s="20">
        <f t="shared" si="0"/>
        <v>58</v>
      </c>
    </row>
    <row r="40" spans="1:22" ht="20.100000000000001" customHeight="1" x14ac:dyDescent="0.25">
      <c r="A40" s="32">
        <v>37</v>
      </c>
      <c r="B40" s="30" t="s">
        <v>51</v>
      </c>
      <c r="C40" s="31" t="s">
        <v>24</v>
      </c>
      <c r="D40" s="14">
        <f>'1-П'!C88</f>
        <v>0</v>
      </c>
      <c r="E40" s="14"/>
      <c r="F40" s="15"/>
      <c r="G40" s="15"/>
      <c r="H40" s="15"/>
      <c r="I40" s="16">
        <v>58</v>
      </c>
      <c r="J40" s="16"/>
      <c r="K40" s="16"/>
      <c r="L40" s="16"/>
      <c r="M40" s="17"/>
      <c r="N40" s="17"/>
      <c r="O40" s="17"/>
      <c r="P40" s="18"/>
      <c r="Q40" s="18"/>
      <c r="R40" s="18"/>
      <c r="S40" s="18"/>
      <c r="T40" s="19"/>
      <c r="U40" s="19"/>
      <c r="V40" s="20">
        <f t="shared" si="0"/>
        <v>58</v>
      </c>
    </row>
    <row r="41" spans="1:22" ht="20.100000000000001" customHeight="1" x14ac:dyDescent="0.25">
      <c r="A41" s="32">
        <v>38</v>
      </c>
      <c r="B41" s="30" t="s">
        <v>53</v>
      </c>
      <c r="C41" s="31" t="s">
        <v>24</v>
      </c>
      <c r="D41" s="14">
        <f>'1-П'!C89</f>
        <v>0</v>
      </c>
      <c r="E41" s="14"/>
      <c r="F41" s="15"/>
      <c r="G41" s="15"/>
      <c r="H41" s="15"/>
      <c r="I41" s="16"/>
      <c r="J41" s="16"/>
      <c r="K41" s="16"/>
      <c r="L41" s="16"/>
      <c r="M41" s="17"/>
      <c r="N41" s="17"/>
      <c r="O41" s="17"/>
      <c r="P41" s="18"/>
      <c r="Q41" s="18"/>
      <c r="R41" s="18"/>
      <c r="S41" s="18"/>
      <c r="T41" s="19">
        <v>1</v>
      </c>
      <c r="U41" s="19">
        <v>8</v>
      </c>
      <c r="V41" s="20">
        <f t="shared" si="0"/>
        <v>9</v>
      </c>
    </row>
    <row r="42" spans="1:22" ht="20.100000000000001" customHeight="1" x14ac:dyDescent="0.25">
      <c r="A42" s="32">
        <v>39</v>
      </c>
      <c r="B42" s="30" t="s">
        <v>54</v>
      </c>
      <c r="C42" s="31" t="s">
        <v>26</v>
      </c>
      <c r="D42" s="14">
        <f>'1-П'!C90</f>
        <v>0</v>
      </c>
      <c r="E42" s="14"/>
      <c r="F42" s="15"/>
      <c r="G42" s="15"/>
      <c r="H42" s="15"/>
      <c r="I42" s="16"/>
      <c r="J42" s="16"/>
      <c r="K42" s="16"/>
      <c r="L42" s="16"/>
      <c r="M42" s="17"/>
      <c r="N42" s="17"/>
      <c r="O42" s="17"/>
      <c r="P42" s="18"/>
      <c r="Q42" s="18"/>
      <c r="R42" s="18"/>
      <c r="S42" s="18"/>
      <c r="T42" s="19">
        <v>1</v>
      </c>
      <c r="U42" s="19">
        <v>8</v>
      </c>
      <c r="V42" s="20">
        <f t="shared" si="0"/>
        <v>9</v>
      </c>
    </row>
    <row r="43" spans="1:22" ht="20.100000000000001" customHeight="1" x14ac:dyDescent="0.25">
      <c r="A43" s="32">
        <v>40</v>
      </c>
      <c r="B43" s="30" t="s">
        <v>301</v>
      </c>
      <c r="C43" s="31" t="s">
        <v>26</v>
      </c>
      <c r="D43" s="14">
        <f>'1-П'!C91</f>
        <v>0</v>
      </c>
      <c r="E43" s="14"/>
      <c r="F43" s="15"/>
      <c r="G43" s="15"/>
      <c r="H43" s="15"/>
      <c r="I43" s="16"/>
      <c r="J43" s="16"/>
      <c r="K43" s="16"/>
      <c r="L43" s="16"/>
      <c r="M43" s="17"/>
      <c r="N43" s="17"/>
      <c r="O43" s="17"/>
      <c r="P43" s="18"/>
      <c r="Q43" s="18"/>
      <c r="R43" s="18"/>
      <c r="S43" s="18"/>
      <c r="T43" s="19"/>
      <c r="U43" s="19"/>
      <c r="V43" s="20"/>
    </row>
    <row r="44" spans="1:22" ht="20.100000000000001" customHeight="1" x14ac:dyDescent="0.25">
      <c r="A44" s="32">
        <v>41</v>
      </c>
      <c r="B44" s="30" t="s">
        <v>284</v>
      </c>
      <c r="C44" s="31" t="s">
        <v>283</v>
      </c>
      <c r="D44" s="14">
        <f>'1-П'!C92</f>
        <v>0</v>
      </c>
      <c r="E44" s="14"/>
      <c r="F44" s="15"/>
      <c r="G44" s="15"/>
      <c r="H44" s="15"/>
      <c r="I44" s="16"/>
      <c r="J44" s="16"/>
      <c r="K44" s="16"/>
      <c r="L44" s="16"/>
      <c r="M44" s="17"/>
      <c r="N44" s="17"/>
      <c r="O44" s="17"/>
      <c r="P44" s="18"/>
      <c r="Q44" s="18"/>
      <c r="R44" s="18"/>
      <c r="S44" s="18"/>
      <c r="T44" s="19"/>
      <c r="U44" s="19">
        <v>16</v>
      </c>
      <c r="V44" s="20">
        <f t="shared" si="0"/>
        <v>16</v>
      </c>
    </row>
    <row r="45" spans="1:22" ht="20.100000000000001" customHeight="1" x14ac:dyDescent="0.25">
      <c r="A45" s="32">
        <v>42</v>
      </c>
      <c r="B45" s="30" t="s">
        <v>319</v>
      </c>
      <c r="C45" s="31" t="s">
        <v>26</v>
      </c>
      <c r="D45" s="14">
        <f>'1-П'!C93</f>
        <v>0</v>
      </c>
      <c r="E45" s="14"/>
      <c r="F45" s="15"/>
      <c r="G45" s="15"/>
      <c r="H45" s="15"/>
      <c r="I45" s="16"/>
      <c r="J45" s="16"/>
      <c r="K45" s="16"/>
      <c r="L45" s="16"/>
      <c r="M45" s="17"/>
      <c r="N45" s="17"/>
      <c r="O45" s="17"/>
      <c r="P45" s="18"/>
      <c r="Q45" s="18"/>
      <c r="R45" s="18"/>
      <c r="S45" s="18"/>
      <c r="T45" s="19"/>
      <c r="U45" s="19">
        <v>16</v>
      </c>
      <c r="V45" s="20">
        <f t="shared" si="0"/>
        <v>16</v>
      </c>
    </row>
    <row r="46" spans="1:22" ht="20.100000000000001" customHeight="1" x14ac:dyDescent="0.25">
      <c r="A46" s="32">
        <v>43</v>
      </c>
      <c r="B46" s="30" t="s">
        <v>282</v>
      </c>
      <c r="C46" s="31" t="s">
        <v>26</v>
      </c>
      <c r="D46" s="14">
        <f>'1-П'!C94</f>
        <v>0</v>
      </c>
      <c r="E46" s="14"/>
      <c r="F46" s="15"/>
      <c r="G46" s="15"/>
      <c r="H46" s="15"/>
      <c r="I46" s="16"/>
      <c r="J46" s="16"/>
      <c r="K46" s="16"/>
      <c r="L46" s="16"/>
      <c r="M46" s="17"/>
      <c r="N46" s="17"/>
      <c r="O46" s="17"/>
      <c r="P46" s="18"/>
      <c r="Q46" s="18"/>
      <c r="R46" s="18"/>
      <c r="S46" s="18"/>
      <c r="T46" s="19"/>
      <c r="U46" s="19">
        <v>160</v>
      </c>
      <c r="V46" s="20">
        <f t="shared" si="0"/>
        <v>160</v>
      </c>
    </row>
    <row r="47" spans="1:22" s="3" customFormat="1" ht="23.25" customHeight="1" x14ac:dyDescent="0.25">
      <c r="A47" s="25"/>
      <c r="B47" s="26" t="s">
        <v>1</v>
      </c>
      <c r="C47" s="33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</sheetData>
  <autoFilter ref="B3:B47" xr:uid="{00000000-0009-0000-0000-000001000000}"/>
  <printOptions horizontalCentered="1"/>
  <pageMargins left="0.39370078740157483" right="0.39370078740157483" top="0.39370078740157483" bottom="0.39370078740157483" header="0" footer="0"/>
  <pageSetup paperSize="9" scale="84" orientation="landscape" r:id="rId1"/>
  <rowBreaks count="1" manualBreakCount="1">
    <brk id="2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AT35"/>
  <sheetViews>
    <sheetView tabSelected="1" view="pageBreakPreview" topLeftCell="A20" zoomScale="85" zoomScaleSheetLayoutView="85" workbookViewId="0">
      <selection activeCell="AT18" sqref="AT18:AT22"/>
    </sheetView>
  </sheetViews>
  <sheetFormatPr defaultRowHeight="21" x14ac:dyDescent="0.35"/>
  <cols>
    <col min="1" max="1" width="5.28515625" customWidth="1"/>
    <col min="2" max="2" width="42.5703125" customWidth="1"/>
    <col min="3" max="3" width="6.85546875" style="85" customWidth="1"/>
    <col min="4" max="7" width="5.7109375" style="37" customWidth="1"/>
    <col min="8" max="8" width="8" style="37" customWidth="1"/>
    <col min="9" max="43" width="5.7109375" style="37" customWidth="1"/>
    <col min="44" max="44" width="8.42578125" style="37" customWidth="1"/>
    <col min="45" max="46" width="5.7109375" style="37" customWidth="1"/>
  </cols>
  <sheetData>
    <row r="1" spans="1:46" x14ac:dyDescent="0.35">
      <c r="C1" s="80"/>
    </row>
    <row r="2" spans="1:46" x14ac:dyDescent="0.35">
      <c r="C2" s="80"/>
    </row>
    <row r="3" spans="1:46" x14ac:dyDescent="0.35">
      <c r="C3" s="80"/>
    </row>
    <row r="4" spans="1:46" x14ac:dyDescent="0.35">
      <c r="C4" s="80"/>
    </row>
    <row r="5" spans="1:46" x14ac:dyDescent="0.35">
      <c r="C5" s="80"/>
    </row>
    <row r="6" spans="1:46" x14ac:dyDescent="0.35">
      <c r="C6" s="80"/>
    </row>
    <row r="7" spans="1:46" x14ac:dyDescent="0.35">
      <c r="C7" s="80"/>
    </row>
    <row r="8" spans="1:46" x14ac:dyDescent="0.35">
      <c r="C8" s="80"/>
    </row>
    <row r="9" spans="1:46" x14ac:dyDescent="0.35">
      <c r="C9" s="80"/>
    </row>
    <row r="10" spans="1:46" ht="18.75" x14ac:dyDescent="0.25">
      <c r="A10" s="112" t="s">
        <v>105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</row>
    <row r="11" spans="1:46" ht="18.75" x14ac:dyDescent="0.25">
      <c r="A11" s="112" t="s">
        <v>312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</row>
    <row r="12" spans="1:46" ht="18.75" x14ac:dyDescent="0.25">
      <c r="A12" s="112" t="s">
        <v>287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</row>
    <row r="13" spans="1:46" x14ac:dyDescent="0.35">
      <c r="A13" s="61"/>
      <c r="B13" s="61"/>
      <c r="C13" s="80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 t="s">
        <v>288</v>
      </c>
      <c r="S13" s="112" t="str">
        <f>'Справочник-не смотрим!'!B1</f>
        <v>февраль</v>
      </c>
      <c r="T13" s="112"/>
      <c r="U13" s="112">
        <f>'Справочник-не смотрим!'!B2</f>
        <v>2026</v>
      </c>
      <c r="V13" s="112"/>
      <c r="W13" s="61" t="s">
        <v>289</v>
      </c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</row>
    <row r="14" spans="1:46" ht="2.25" customHeight="1" x14ac:dyDescent="0.35">
      <c r="C14" s="80"/>
    </row>
    <row r="15" spans="1:46" ht="31.15" customHeight="1" x14ac:dyDescent="0.25">
      <c r="A15" s="118" t="s">
        <v>0</v>
      </c>
      <c r="B15" s="116" t="s">
        <v>92</v>
      </c>
      <c r="C15" s="114" t="s">
        <v>93</v>
      </c>
      <c r="D15" s="113" t="s">
        <v>58</v>
      </c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</row>
    <row r="16" spans="1:46" ht="243.75" customHeight="1" x14ac:dyDescent="0.25">
      <c r="A16" s="119"/>
      <c r="B16" s="117"/>
      <c r="C16" s="115"/>
      <c r="D16" s="39" t="str">
        <f>'ЗАЯВКА-не смотрим!'!B4</f>
        <v>Вода питьевая негазир. (5 л.)</v>
      </c>
      <c r="E16" s="28" t="str">
        <f>'ЗАЯВКА-не смотрим!'!B5</f>
        <v>Туалетная бумага "Набережные Челны" (рул.)</v>
      </c>
      <c r="F16" s="28" t="str">
        <f>'ЗАЯВКА-не смотрим!'!B6</f>
        <v>Чай черный ГОСТ (100 гр.)</v>
      </c>
      <c r="G16" s="28" t="str">
        <f>'ЗАЯВКА-не смотрим!'!B7</f>
        <v>Чай черный пакетированный (25 пак.)</v>
      </c>
      <c r="H16" s="28" t="str">
        <f>'ЗАЯВКА-не смотрим!'!B8</f>
        <v xml:space="preserve">Станки для бритья "Джилет Blue II Maximum" однораз. </v>
      </c>
      <c r="I16" s="28" t="str">
        <f>'ЗАЯВКА-не смотрим!'!B9</f>
        <v>Говядина тушеная ж/б (325 гр. ключ)</v>
      </c>
      <c r="J16" s="28" t="str">
        <f>'ЗАЯВКА-не смотрим!'!B10</f>
        <v>Колбаса вареная "Докторская" ГОСТ (400 гр.)</v>
      </c>
      <c r="K16" s="28" t="str">
        <f>'ЗАЯВКА-не смотрим!'!B11</f>
        <v>Зефир Беково (белый, розовый, 250 гр.)</v>
      </c>
      <c r="L16" s="28" t="str">
        <f>'ЗАЯВКА-не смотрим!'!B12</f>
        <v>Ветчина в ассртименте ж/б (325 гр. ключ)</v>
      </c>
      <c r="M16" s="28" t="str">
        <f>'ЗАЯВКА-не смотрим!'!B13</f>
        <v>Сыр в ассортименте (200 гр.)</v>
      </c>
      <c r="N16" s="28" t="str">
        <f>'ЗАЯВКА-не смотрим!'!B14</f>
        <v xml:space="preserve">Вафли в ассортименте (200 гр.) </v>
      </c>
      <c r="O16" s="97" t="str">
        <f>'ЗАЯВКА-не смотрим!'!B15</f>
        <v>Кофе растворимый черный в мягкой упаковке Monarch (150 г)</v>
      </c>
      <c r="P16" s="28" t="str">
        <f>'ЗАЯВКА-не смотрим!'!B16</f>
        <v>Джем Махеевъ дой-пак 300 г в ассортименте</v>
      </c>
      <c r="Q16" s="28" t="str">
        <f>'ЗАЯВКА-не смотрим!'!B17</f>
        <v>Колбаса в/к ГОСТ (400 гр.)</v>
      </c>
      <c r="R16" s="28" t="str">
        <f>'ЗАЯВКА-не смотрим!'!B18</f>
        <v>Шпроты в масле ж/б (160 гр., ключ)</v>
      </c>
      <c r="S16" s="28" t="str">
        <f>'ЗАЯВКА-не смотрим!'!B19</f>
        <v>Прияники с начинкой "Яшкино" 250 гр.</v>
      </c>
      <c r="T16" s="29" t="str">
        <f>'ЗАЯВКА-не смотрим!'!B20</f>
        <v>Мини - рулеты (175 гр.)</v>
      </c>
      <c r="U16" s="28" t="str">
        <f>'ЗАЯВКА-не смотрим!'!B21</f>
        <v>Мыло хозяйственное 72%  (200 гр.)</v>
      </c>
      <c r="V16" s="28" t="str">
        <f>'ЗАЯВКА-не смотрим!'!B22</f>
        <v>Конфеты шоколадные фасованные в ассортименте (250 гр.)</v>
      </c>
      <c r="W16" s="28" t="str">
        <f>'ЗАЯВКА-не смотрим!'!B23</f>
        <v>Печенье сахарное фасованное (200гр.)</v>
      </c>
      <c r="X16" s="28" t="str">
        <f>'ЗАЯВКА-не смотрим!'!B24</f>
        <v>Консервы рыбные в ассортименте ж/б (230 гр., ключ)</v>
      </c>
      <c r="Y16" s="29" t="str">
        <f>'ЗАЯВКА-не смотрим!'!B25</f>
        <v>Освежитель воздуха (200 мл.)</v>
      </c>
      <c r="Z16" s="28" t="str">
        <f>'ЗАЯВКА-не смотрим!'!B26</f>
        <v>Жидкое мыло (200 мл.)</v>
      </c>
      <c r="AA16" s="28" t="str">
        <f>'ЗАЯВКА-не смотрим!'!B27</f>
        <v>Лукум Беково (250 гр.)</v>
      </c>
      <c r="AB16" s="28" t="str">
        <f>'ЗАЯВКА-не смотрим!'!B28</f>
        <v>Мармелад диабетический на фруктозе (200гр.)</v>
      </c>
      <c r="AC16" s="28" t="str">
        <f>'ЗАЯВКА-не смотрим!'!B29</f>
        <v>Конфеты диабетические (200 гр.)</v>
      </c>
      <c r="AD16" s="28" t="str">
        <f>'ЗАЯВКА-не смотрим!'!B30</f>
        <v>Паштет "Знаток" ж/б (250 гр., ключ)</v>
      </c>
      <c r="AE16" s="28" t="str">
        <f>'ЗАЯВКА-не смотрим!'!B31</f>
        <v>Печенье диабетическое "Мария" (250гр.)</v>
      </c>
      <c r="AF16" s="28" t="str">
        <f>'ЗАЯВКА-не смотрим!'!B32</f>
        <v>Крекер соленый (180 гр.)</v>
      </c>
      <c r="AG16" s="28" t="str">
        <f>'ЗАЯВКА-не смотрим!'!B33</f>
        <v>Печенье детское Бонди Бегемотик (180 гр.)</v>
      </c>
      <c r="AH16" s="28" t="str">
        <f>'ЗАЯВКА-не смотрим!'!B34</f>
        <v>Килька Балтийская в томтном соусе 240 г ключ</v>
      </c>
      <c r="AI16" s="28" t="str">
        <f>'ЗАЯВКА-не смотрим!'!B35</f>
        <v>Паштет HAME из гусиной печени (105 гр.)</v>
      </c>
      <c r="AJ16" s="28" t="str">
        <f>'ЗАЯВКА-не смотрим!'!B36</f>
        <v>Паштет HAME с мясом птицы (105 гр.)</v>
      </c>
      <c r="AK16" s="28" t="str">
        <f>'ЗАЯВКА-не смотрим!'!B37</f>
        <v>Паштет HAME с мясом индейки (105 гр.)</v>
      </c>
      <c r="AL16" s="28" t="str">
        <f>'ЗАЯВКА-не смотрим!'!B38</f>
        <v>Мини - кексы (250 гр.)</v>
      </c>
      <c r="AM16" s="28" t="str">
        <f>'ЗАЯВКА-не смотрим!'!B39</f>
        <v>Сыр плавленный "Вкуснотеево" (ванночка, 200 гр.)</v>
      </c>
      <c r="AN16" s="28" t="str">
        <f>'ЗАЯВКА-не смотрим!'!B40</f>
        <v>Зефир в шоколаде Беково (250 гр.)</v>
      </c>
      <c r="AO16" s="28" t="str">
        <f>'ЗАЯВКА-не смотрим!'!B41</f>
        <v>Сахар рафинад (500 гр.)</v>
      </c>
      <c r="AP16" s="28" t="str">
        <f>'ЗАЯВКА-не смотрим!'!B42</f>
        <v>Сок в ассортименте (1 л.)</v>
      </c>
      <c r="AQ16" s="28" t="str">
        <f>'ЗАЯВКА-не смотрим!'!B43</f>
        <v>Пена для бритья "АРКО" (200мл)</v>
      </c>
      <c r="AR16" s="28" t="str">
        <f>'ЗАЯВКА-не смотрим!'!B44</f>
        <v>Сигареты с фильтром в пачке (20 сигарет)</v>
      </c>
      <c r="AS16" s="28" t="str">
        <f>'ЗАЯВКА-не смотрим!'!B45</f>
        <v>Туалетная вода, 200 мл</v>
      </c>
      <c r="AT16" s="28" t="str">
        <f>'ЗАЯВКА-не смотрим!'!B46</f>
        <v>Зажигалка</v>
      </c>
    </row>
    <row r="17" spans="1:46" ht="39" customHeight="1" thickBot="1" x14ac:dyDescent="0.3">
      <c r="A17" s="119"/>
      <c r="B17" s="117"/>
      <c r="C17" s="81" t="s">
        <v>94</v>
      </c>
      <c r="D17" s="62" t="str">
        <f>'ЗАЯВКА-не смотрим!'!C4</f>
        <v>бут.</v>
      </c>
      <c r="E17" s="46" t="str">
        <f>'ЗАЯВКА-не смотрим!'!C5</f>
        <v>шт.</v>
      </c>
      <c r="F17" s="51" t="str">
        <f>'ЗАЯВКА-не смотрим!'!C6</f>
        <v>упак.</v>
      </c>
      <c r="G17" s="51" t="str">
        <f>'ЗАЯВКА-не смотрим!'!C7</f>
        <v>упак.</v>
      </c>
      <c r="H17" s="46" t="str">
        <f>'ЗАЯВКА-не смотрим!'!C8</f>
        <v>шт.</v>
      </c>
      <c r="I17" s="46" t="str">
        <f>'ЗАЯВКА-не смотрим!'!C9</f>
        <v>шт.</v>
      </c>
      <c r="J17" s="46" t="str">
        <f>'ЗАЯВКА-не смотрим!'!C10</f>
        <v>шт.</v>
      </c>
      <c r="K17" s="51" t="str">
        <f>'ЗАЯВКА-не смотрим!'!C11</f>
        <v>упак.</v>
      </c>
      <c r="L17" s="46" t="str">
        <f>'ЗАЯВКА-не смотрим!'!C12</f>
        <v>шт.</v>
      </c>
      <c r="M17" s="46" t="str">
        <f>'ЗАЯВКА-не смотрим!'!C13</f>
        <v>шт.</v>
      </c>
      <c r="N17" s="51" t="str">
        <f>'ЗАЯВКА-не смотрим!'!C14</f>
        <v>упак.</v>
      </c>
      <c r="O17" s="46" t="str">
        <f>'ЗАЯВКА-не смотрим!'!C15</f>
        <v>шт.</v>
      </c>
      <c r="P17" s="46" t="str">
        <f>'ЗАЯВКА-не смотрим!'!C16</f>
        <v>шт.</v>
      </c>
      <c r="Q17" s="46" t="str">
        <f>'ЗАЯВКА-не смотрим!'!C17</f>
        <v>шт.</v>
      </c>
      <c r="R17" s="46" t="str">
        <f>'ЗАЯВКА-не смотрим!'!C18</f>
        <v>шт.</v>
      </c>
      <c r="S17" s="51" t="str">
        <f>'ЗАЯВКА-не смотрим!'!C19</f>
        <v>упак.</v>
      </c>
      <c r="T17" s="51" t="str">
        <f>'ЗАЯВКА-не смотрим!'!C20</f>
        <v>упак.</v>
      </c>
      <c r="U17" s="46" t="str">
        <f>'ЗАЯВКА-не смотрим!'!C21</f>
        <v>шт.</v>
      </c>
      <c r="V17" s="51" t="str">
        <f>'ЗАЯВКА-не смотрим!'!C22</f>
        <v>упак.</v>
      </c>
      <c r="W17" s="51" t="str">
        <f>'ЗАЯВКА-не смотрим!'!C23</f>
        <v>упак.</v>
      </c>
      <c r="X17" s="46" t="str">
        <f>'ЗАЯВКА-не смотрим!'!C24</f>
        <v>шт.</v>
      </c>
      <c r="Y17" s="46" t="str">
        <f>'ЗАЯВКА-не смотрим!'!C25</f>
        <v>шт.</v>
      </c>
      <c r="Z17" s="46" t="str">
        <f>'ЗАЯВКА-не смотрим!'!C26</f>
        <v>шт.</v>
      </c>
      <c r="AA17" s="51" t="str">
        <f>'ЗАЯВКА-не смотрим!'!C27</f>
        <v>упак.</v>
      </c>
      <c r="AB17" s="51" t="str">
        <f>'ЗАЯВКА-не смотрим!'!C28</f>
        <v>упак.</v>
      </c>
      <c r="AC17" s="51" t="str">
        <f>'ЗАЯВКА-не смотрим!'!C29</f>
        <v>упак.</v>
      </c>
      <c r="AD17" s="46" t="str">
        <f>'ЗАЯВКА-не смотрим!'!C30</f>
        <v>шт.</v>
      </c>
      <c r="AE17" s="51" t="str">
        <f>'ЗАЯВКА-не смотрим!'!C31</f>
        <v>упак.</v>
      </c>
      <c r="AF17" s="51" t="str">
        <f>'ЗАЯВКА-не смотрим!'!C32</f>
        <v>упак.</v>
      </c>
      <c r="AG17" s="51" t="str">
        <f>'ЗАЯВКА-не смотрим!'!C33</f>
        <v>упак.</v>
      </c>
      <c r="AH17" s="46" t="str">
        <f>'ЗАЯВКА-не смотрим!'!C34</f>
        <v>шт.</v>
      </c>
      <c r="AI17" s="46" t="str">
        <f>'ЗАЯВКА-не смотрим!'!C35</f>
        <v>шт.</v>
      </c>
      <c r="AJ17" s="46" t="str">
        <f>'ЗАЯВКА-не смотрим!'!C36</f>
        <v>шт.</v>
      </c>
      <c r="AK17" s="46" t="str">
        <f>'ЗАЯВКА-не смотрим!'!C37</f>
        <v>шт.</v>
      </c>
      <c r="AL17" s="51" t="str">
        <f>'ЗАЯВКА-не смотрим!'!C38</f>
        <v>упак.</v>
      </c>
      <c r="AM17" s="46" t="str">
        <f>'ЗАЯВКА-не смотрим!'!C39</f>
        <v>шт.</v>
      </c>
      <c r="AN17" s="51" t="str">
        <f>'ЗАЯВКА-не смотрим!'!C40</f>
        <v>упак.</v>
      </c>
      <c r="AO17" s="51" t="str">
        <f>'ЗАЯВКА-не смотрим!'!C41</f>
        <v>упак.</v>
      </c>
      <c r="AP17" s="46" t="str">
        <f>'ЗАЯВКА-не смотрим!'!C42</f>
        <v>шт.</v>
      </c>
      <c r="AQ17" s="46" t="str">
        <f>'ЗАЯВКА-не смотрим!'!C43</f>
        <v>шт.</v>
      </c>
      <c r="AR17" s="46" t="str">
        <f>'ЗАЯВКА-не смотрим!'!C44</f>
        <v>пач.</v>
      </c>
      <c r="AS17" s="46" t="str">
        <f>'ЗАЯВКА-не смотрим!'!C45</f>
        <v>шт.</v>
      </c>
      <c r="AT17" s="46" t="str">
        <f>'ЗАЯВКА-не смотрим!'!C46</f>
        <v>шт.</v>
      </c>
    </row>
    <row r="18" spans="1:46" ht="27.6" customHeight="1" thickBot="1" x14ac:dyDescent="0.3">
      <c r="A18" s="77">
        <v>1</v>
      </c>
      <c r="B18" s="52" t="s">
        <v>95</v>
      </c>
      <c r="C18" s="88">
        <f>COUNTA('1-П'!B13:B51)</f>
        <v>39</v>
      </c>
      <c r="D18" s="53">
        <f>'1-П'!C52</f>
        <v>78</v>
      </c>
      <c r="E18" s="53">
        <f>'1-П'!D52</f>
        <v>39</v>
      </c>
      <c r="F18" s="53">
        <f>'1-П'!E52</f>
        <v>39</v>
      </c>
      <c r="G18" s="53">
        <f>'1-П'!F52</f>
        <v>0</v>
      </c>
      <c r="H18" s="53">
        <f>'1-П'!G52</f>
        <v>195</v>
      </c>
      <c r="I18" s="53">
        <f>'1-П'!H52</f>
        <v>39</v>
      </c>
      <c r="J18" s="53">
        <f>'1-П'!I52</f>
        <v>39</v>
      </c>
      <c r="K18" s="53">
        <f>'1-П'!J52</f>
        <v>0</v>
      </c>
      <c r="L18" s="53">
        <f>'1-П'!K52</f>
        <v>39</v>
      </c>
      <c r="M18" s="53">
        <f>'1-П'!L52</f>
        <v>39</v>
      </c>
      <c r="N18" s="53">
        <f>'1-П'!M52</f>
        <v>39</v>
      </c>
      <c r="O18" s="53">
        <f>'1-П'!N52</f>
        <v>0</v>
      </c>
      <c r="P18" s="53">
        <f>'1-П'!O52</f>
        <v>39</v>
      </c>
      <c r="Q18" s="53">
        <f>'1-П'!P52</f>
        <v>39</v>
      </c>
      <c r="R18" s="53">
        <f>'1-П'!Q52</f>
        <v>0</v>
      </c>
      <c r="S18" s="53">
        <f>'1-П'!R52</f>
        <v>0</v>
      </c>
      <c r="T18" s="53">
        <f>'1-П'!S52</f>
        <v>39</v>
      </c>
      <c r="U18" s="53">
        <f>'1-П'!T52</f>
        <v>0</v>
      </c>
      <c r="V18" s="53">
        <f>'1-П'!U52</f>
        <v>39</v>
      </c>
      <c r="W18" s="53">
        <f>'1-П'!V52</f>
        <v>39</v>
      </c>
      <c r="X18" s="53">
        <f>'1-П'!W52</f>
        <v>0</v>
      </c>
      <c r="Y18" s="53">
        <f>'1-П'!X52</f>
        <v>0</v>
      </c>
      <c r="Z18" s="53">
        <f>'1-П'!Y52</f>
        <v>39</v>
      </c>
      <c r="AA18" s="53">
        <f>'1-П'!Z52</f>
        <v>0</v>
      </c>
      <c r="AB18" s="53">
        <f>'1-П'!AA52</f>
        <v>0</v>
      </c>
      <c r="AC18" s="53">
        <f>'1-П'!AB52</f>
        <v>0</v>
      </c>
      <c r="AD18" s="53">
        <f>'1-П'!AC52</f>
        <v>39</v>
      </c>
      <c r="AE18" s="53">
        <f>'1-П'!AD52</f>
        <v>0</v>
      </c>
      <c r="AF18" s="53">
        <f>'1-П'!AE52</f>
        <v>0</v>
      </c>
      <c r="AG18" s="53">
        <f>'1-П'!AF52</f>
        <v>0</v>
      </c>
      <c r="AH18" s="53">
        <f>'1-П'!AG52</f>
        <v>0</v>
      </c>
      <c r="AI18" s="53">
        <f>'1-П'!AH52</f>
        <v>0</v>
      </c>
      <c r="AJ18" s="53">
        <f>'1-П'!AI52</f>
        <v>0</v>
      </c>
      <c r="AK18" s="53">
        <f>'1-П'!AJ52</f>
        <v>0</v>
      </c>
      <c r="AL18" s="53">
        <f>'1-П'!AK52</f>
        <v>0</v>
      </c>
      <c r="AM18" s="53">
        <f>'1-П'!AL52</f>
        <v>0</v>
      </c>
      <c r="AN18" s="53">
        <f>'1-П'!AM52</f>
        <v>0</v>
      </c>
      <c r="AO18" s="53">
        <f>'1-П'!AN52</f>
        <v>39</v>
      </c>
      <c r="AP18" s="53">
        <f>'1-П'!AO52</f>
        <v>0</v>
      </c>
      <c r="AQ18" s="53">
        <f>'1-П'!AP52</f>
        <v>0</v>
      </c>
      <c r="AR18" s="53">
        <f>'1-П'!AQ52</f>
        <v>500</v>
      </c>
      <c r="AS18" s="53">
        <f>'1-П'!AR52</f>
        <v>0</v>
      </c>
      <c r="AT18" s="53">
        <f>'1-П'!AS52</f>
        <v>0</v>
      </c>
    </row>
    <row r="19" spans="1:46" ht="27.6" customHeight="1" thickBot="1" x14ac:dyDescent="0.3">
      <c r="A19" s="78">
        <v>2</v>
      </c>
      <c r="B19" s="54" t="s">
        <v>96</v>
      </c>
      <c r="C19" s="88">
        <f>COUNTA('1-С'!B17:B54)</f>
        <v>38</v>
      </c>
      <c r="D19" s="55">
        <f>'1-С'!C55</f>
        <v>76</v>
      </c>
      <c r="E19" s="55">
        <f>'1-С'!D55</f>
        <v>38</v>
      </c>
      <c r="F19" s="55">
        <f>'1-С'!E55</f>
        <v>38</v>
      </c>
      <c r="G19" s="55">
        <f>'1-С'!F55</f>
        <v>0</v>
      </c>
      <c r="H19" s="55">
        <f>'1-С'!G55</f>
        <v>190</v>
      </c>
      <c r="I19" s="55">
        <f>'1-С'!H55</f>
        <v>38</v>
      </c>
      <c r="J19" s="55">
        <f>'1-С'!I55</f>
        <v>38</v>
      </c>
      <c r="K19" s="55">
        <f>'1-С'!J55</f>
        <v>0</v>
      </c>
      <c r="L19" s="55">
        <f>'1-С'!K55</f>
        <v>38</v>
      </c>
      <c r="M19" s="55">
        <f>'1-С'!L55</f>
        <v>38</v>
      </c>
      <c r="N19" s="55">
        <f>'1-С'!M55</f>
        <v>38</v>
      </c>
      <c r="O19" s="55">
        <f>'1-С'!N55</f>
        <v>0</v>
      </c>
      <c r="P19" s="55">
        <f>'1-С'!O55</f>
        <v>0</v>
      </c>
      <c r="Q19" s="55">
        <f>'1-С'!P55</f>
        <v>38</v>
      </c>
      <c r="R19" s="55">
        <f>'1-С'!Q55</f>
        <v>0</v>
      </c>
      <c r="S19" s="55">
        <f>'1-С'!R55</f>
        <v>0</v>
      </c>
      <c r="T19" s="55">
        <f>'1-С'!S55</f>
        <v>38</v>
      </c>
      <c r="U19" s="55">
        <f>'1-С'!T55</f>
        <v>0</v>
      </c>
      <c r="V19" s="55">
        <f>'1-С'!U55</f>
        <v>0</v>
      </c>
      <c r="W19" s="55">
        <f>'1-С'!V55</f>
        <v>0</v>
      </c>
      <c r="X19" s="55">
        <f>'1-С'!W55</f>
        <v>0</v>
      </c>
      <c r="Y19" s="55">
        <f>'1-С'!X55</f>
        <v>0</v>
      </c>
      <c r="Z19" s="55">
        <f>'1-С'!Y55</f>
        <v>38</v>
      </c>
      <c r="AA19" s="55">
        <f>'1-С'!Z55</f>
        <v>0</v>
      </c>
      <c r="AB19" s="55">
        <f>'1-С'!AA55</f>
        <v>0</v>
      </c>
      <c r="AC19" s="55">
        <f>'1-С'!AB55</f>
        <v>0</v>
      </c>
      <c r="AD19" s="55">
        <f>'1-С'!AC55</f>
        <v>38</v>
      </c>
      <c r="AE19" s="55">
        <f>'1-С'!AD55</f>
        <v>0</v>
      </c>
      <c r="AF19" s="55">
        <f>'1-С'!AE55</f>
        <v>0</v>
      </c>
      <c r="AG19" s="55">
        <f>'1-С'!AF55</f>
        <v>0</v>
      </c>
      <c r="AH19" s="55">
        <f>'1-С'!AG55</f>
        <v>0</v>
      </c>
      <c r="AI19" s="55">
        <f>'1-С'!AH55</f>
        <v>0</v>
      </c>
      <c r="AJ19" s="55">
        <f>'1-С'!AI55</f>
        <v>0</v>
      </c>
      <c r="AK19" s="55">
        <f>'1-С'!AJ55</f>
        <v>0</v>
      </c>
      <c r="AL19" s="55">
        <f>'1-С'!AK55</f>
        <v>0</v>
      </c>
      <c r="AM19" s="55">
        <f>'1-С'!AL55</f>
        <v>0</v>
      </c>
      <c r="AN19" s="55">
        <f>'1-С'!AM55</f>
        <v>0</v>
      </c>
      <c r="AO19" s="55">
        <f>'1-С'!AN55</f>
        <v>38</v>
      </c>
      <c r="AP19" s="55">
        <f>'1-С'!AO55</f>
        <v>0</v>
      </c>
      <c r="AQ19" s="55">
        <f>'1-С'!AP55</f>
        <v>0</v>
      </c>
      <c r="AR19" s="55">
        <f>'1-С'!AQ55</f>
        <v>320</v>
      </c>
      <c r="AS19" s="55">
        <f>'1-С'!AR55</f>
        <v>0</v>
      </c>
      <c r="AT19" s="55">
        <f>'1-С'!AS55</f>
        <v>0</v>
      </c>
    </row>
    <row r="20" spans="1:46" ht="27.6" customHeight="1" thickBot="1" x14ac:dyDescent="0.3">
      <c r="A20" s="77">
        <v>3</v>
      </c>
      <c r="B20" s="52" t="s">
        <v>106</v>
      </c>
      <c r="C20" s="82">
        <f>COUNTA('2-П'!B17:B78)</f>
        <v>62</v>
      </c>
      <c r="D20" s="53">
        <f>'2-П'!C79</f>
        <v>124</v>
      </c>
      <c r="E20" s="53">
        <f>'2-П'!D79</f>
        <v>62</v>
      </c>
      <c r="F20" s="53">
        <f>'2-П'!E79</f>
        <v>0</v>
      </c>
      <c r="G20" s="53">
        <f>'2-П'!F79</f>
        <v>0</v>
      </c>
      <c r="H20" s="53">
        <f>'2-П'!G79</f>
        <v>310</v>
      </c>
      <c r="I20" s="53">
        <f>'2-П'!H79</f>
        <v>62</v>
      </c>
      <c r="J20" s="53">
        <f>'2-П'!I79</f>
        <v>62</v>
      </c>
      <c r="K20" s="53">
        <f>'2-П'!J79</f>
        <v>0</v>
      </c>
      <c r="L20" s="53">
        <f>'2-П'!K79</f>
        <v>62</v>
      </c>
      <c r="M20" s="53">
        <f>'2-П'!L79</f>
        <v>62</v>
      </c>
      <c r="N20" s="53">
        <f>'2-П'!M79</f>
        <v>62</v>
      </c>
      <c r="O20" s="53">
        <f>'2-П'!N79</f>
        <v>0</v>
      </c>
      <c r="P20" s="53">
        <f>'2-П'!O79</f>
        <v>62</v>
      </c>
      <c r="Q20" s="53">
        <f>'2-П'!P79</f>
        <v>62</v>
      </c>
      <c r="R20" s="53">
        <f>'2-П'!Q79</f>
        <v>0</v>
      </c>
      <c r="S20" s="53">
        <f>'2-П'!R79</f>
        <v>0</v>
      </c>
      <c r="T20" s="53">
        <f>'2-П'!S79</f>
        <v>62</v>
      </c>
      <c r="U20" s="53">
        <f>'2-П'!T79</f>
        <v>0</v>
      </c>
      <c r="V20" s="53">
        <f>'2-П'!U79</f>
        <v>62</v>
      </c>
      <c r="W20" s="53">
        <f>'2-П'!V79</f>
        <v>62</v>
      </c>
      <c r="X20" s="53">
        <f>'2-П'!W79</f>
        <v>0</v>
      </c>
      <c r="Y20" s="53">
        <f>'2-П'!X79</f>
        <v>0</v>
      </c>
      <c r="Z20" s="53">
        <f>'2-П'!Y79</f>
        <v>62</v>
      </c>
      <c r="AA20" s="53">
        <f>'2-П'!Z79</f>
        <v>0</v>
      </c>
      <c r="AB20" s="53">
        <f>'2-П'!AA79</f>
        <v>0</v>
      </c>
      <c r="AC20" s="53">
        <f>'2-П'!AB79</f>
        <v>0</v>
      </c>
      <c r="AD20" s="53">
        <f>'2-П'!AC79</f>
        <v>62</v>
      </c>
      <c r="AE20" s="53">
        <f>'2-П'!AD79</f>
        <v>0</v>
      </c>
      <c r="AF20" s="53">
        <f>'2-П'!AE79</f>
        <v>0</v>
      </c>
      <c r="AG20" s="53">
        <f>'2-П'!AF79</f>
        <v>0</v>
      </c>
      <c r="AH20" s="53">
        <f>'2-П'!AG79</f>
        <v>0</v>
      </c>
      <c r="AI20" s="53">
        <f>'2-П'!AH79</f>
        <v>0</v>
      </c>
      <c r="AJ20" s="53">
        <f>'2-П'!AI79</f>
        <v>0</v>
      </c>
      <c r="AK20" s="53">
        <f>'2-П'!AJ79</f>
        <v>0</v>
      </c>
      <c r="AL20" s="53">
        <f>'2-П'!AK79</f>
        <v>0</v>
      </c>
      <c r="AM20" s="53">
        <f>'2-П'!AL79</f>
        <v>0</v>
      </c>
      <c r="AN20" s="53">
        <f>'2-П'!AM79</f>
        <v>0</v>
      </c>
      <c r="AO20" s="53">
        <f>'2-П'!AN79</f>
        <v>62</v>
      </c>
      <c r="AP20" s="53">
        <f>'2-П'!AO79</f>
        <v>0</v>
      </c>
      <c r="AQ20" s="53">
        <f>'2-П'!AP79</f>
        <v>0</v>
      </c>
      <c r="AR20" s="53">
        <f>'2-П'!AQ79</f>
        <v>560</v>
      </c>
      <c r="AS20" s="53">
        <f>'2-П'!AR79</f>
        <v>0</v>
      </c>
      <c r="AT20" s="53">
        <f>'2-П'!AS79</f>
        <v>0</v>
      </c>
    </row>
    <row r="21" spans="1:46" ht="27.6" customHeight="1" thickBot="1" x14ac:dyDescent="0.3">
      <c r="A21" s="79">
        <v>4</v>
      </c>
      <c r="B21" s="50" t="s">
        <v>107</v>
      </c>
      <c r="C21" s="82">
        <f>COUNTA('2-С'!B17:B47)</f>
        <v>31</v>
      </c>
      <c r="D21" s="44">
        <f>'2-С'!C48</f>
        <v>60</v>
      </c>
      <c r="E21" s="44">
        <f>'2-С'!D48</f>
        <v>30</v>
      </c>
      <c r="F21" s="44">
        <f>'2-С'!E48</f>
        <v>0</v>
      </c>
      <c r="G21" s="44">
        <f>'2-С'!F48</f>
        <v>0</v>
      </c>
      <c r="H21" s="44">
        <f>'2-С'!G48</f>
        <v>150</v>
      </c>
      <c r="I21" s="44">
        <f>'2-С'!H48</f>
        <v>30</v>
      </c>
      <c r="J21" s="44">
        <f>'2-С'!I48</f>
        <v>30</v>
      </c>
      <c r="K21" s="44">
        <f>'2-С'!J48</f>
        <v>0</v>
      </c>
      <c r="L21" s="44">
        <f>'2-С'!K48</f>
        <v>30</v>
      </c>
      <c r="M21" s="44">
        <f>'2-С'!L48</f>
        <v>30</v>
      </c>
      <c r="N21" s="44">
        <f>'2-С'!M48</f>
        <v>30</v>
      </c>
      <c r="O21" s="44">
        <f>'2-С'!N48</f>
        <v>0</v>
      </c>
      <c r="P21" s="44">
        <f>'2-С'!O48</f>
        <v>0</v>
      </c>
      <c r="Q21" s="44">
        <f>'2-С'!P48</f>
        <v>30</v>
      </c>
      <c r="R21" s="44">
        <f>'2-С'!Q48</f>
        <v>0</v>
      </c>
      <c r="S21" s="44">
        <f>'2-С'!R48</f>
        <v>0</v>
      </c>
      <c r="T21" s="44">
        <f>'2-С'!S48</f>
        <v>30</v>
      </c>
      <c r="U21" s="44">
        <f>'2-С'!T48</f>
        <v>0</v>
      </c>
      <c r="V21" s="44">
        <f>'2-С'!U48</f>
        <v>0</v>
      </c>
      <c r="W21" s="44">
        <f>'2-С'!V48</f>
        <v>0</v>
      </c>
      <c r="X21" s="44">
        <f>'2-С'!W48</f>
        <v>0</v>
      </c>
      <c r="Y21" s="44">
        <f>'2-С'!X48</f>
        <v>0</v>
      </c>
      <c r="Z21" s="44">
        <f>'2-С'!Y48</f>
        <v>30</v>
      </c>
      <c r="AA21" s="44">
        <f>'2-С'!Z48</f>
        <v>0</v>
      </c>
      <c r="AB21" s="44">
        <f>'2-С'!AA48</f>
        <v>0</v>
      </c>
      <c r="AC21" s="44">
        <f>'2-С'!AB48</f>
        <v>0</v>
      </c>
      <c r="AD21" s="44">
        <f>'2-С'!AC48</f>
        <v>30</v>
      </c>
      <c r="AE21" s="44">
        <f>'2-С'!AD48</f>
        <v>0</v>
      </c>
      <c r="AF21" s="44">
        <f>'2-С'!AE48</f>
        <v>0</v>
      </c>
      <c r="AG21" s="44">
        <f>'2-С'!AF48</f>
        <v>0</v>
      </c>
      <c r="AH21" s="44">
        <f>'2-С'!AG48</f>
        <v>0</v>
      </c>
      <c r="AI21" s="44">
        <f>'2-С'!AH48</f>
        <v>0</v>
      </c>
      <c r="AJ21" s="44">
        <f>'2-С'!AI48</f>
        <v>0</v>
      </c>
      <c r="AK21" s="44">
        <f>'2-С'!AJ48</f>
        <v>0</v>
      </c>
      <c r="AL21" s="44">
        <f>'2-С'!AK48</f>
        <v>0</v>
      </c>
      <c r="AM21" s="44">
        <f>'2-С'!AL48</f>
        <v>0</v>
      </c>
      <c r="AN21" s="44">
        <f>'2-С'!AM48</f>
        <v>0</v>
      </c>
      <c r="AO21" s="44">
        <f>'2-С'!AN48</f>
        <v>30</v>
      </c>
      <c r="AP21" s="44">
        <f>'2-С'!AO48</f>
        <v>0</v>
      </c>
      <c r="AQ21" s="44">
        <f>'2-С'!AP48</f>
        <v>0</v>
      </c>
      <c r="AR21" s="44">
        <f>'2-С'!AQ48</f>
        <v>260</v>
      </c>
      <c r="AS21" s="44">
        <f>'2-С'!AR48</f>
        <v>0</v>
      </c>
      <c r="AT21" s="44">
        <f>'2-С'!AS48</f>
        <v>0</v>
      </c>
    </row>
    <row r="22" spans="1:46" ht="27.6" customHeight="1" thickBot="1" x14ac:dyDescent="0.3">
      <c r="A22" s="78">
        <v>5</v>
      </c>
      <c r="B22" s="54" t="s">
        <v>108</v>
      </c>
      <c r="C22" s="82">
        <f>COUNTA('2-СД'!B17:B19)</f>
        <v>3</v>
      </c>
      <c r="D22" s="56">
        <f>'2-СД'!C20</f>
        <v>6</v>
      </c>
      <c r="E22" s="56">
        <f>'2-СД'!D20</f>
        <v>3</v>
      </c>
      <c r="F22" s="56">
        <f>'2-СД'!E20</f>
        <v>0</v>
      </c>
      <c r="G22" s="56">
        <f>'2-СД'!F20</f>
        <v>0</v>
      </c>
      <c r="H22" s="56">
        <f>'2-СД'!G20</f>
        <v>15</v>
      </c>
      <c r="I22" s="56">
        <f>'2-СД'!H20</f>
        <v>3</v>
      </c>
      <c r="J22" s="56">
        <f>'2-СД'!I20</f>
        <v>3</v>
      </c>
      <c r="K22" s="56">
        <f>'2-СД'!J20</f>
        <v>0</v>
      </c>
      <c r="L22" s="56">
        <f>'2-СД'!K20</f>
        <v>3</v>
      </c>
      <c r="M22" s="56">
        <f>'2-СД'!L20</f>
        <v>3</v>
      </c>
      <c r="N22" s="56">
        <f>'2-СД'!M20</f>
        <v>0</v>
      </c>
      <c r="O22" s="56">
        <f>'2-СД'!N20</f>
        <v>0</v>
      </c>
      <c r="P22" s="56">
        <f>'2-СД'!O20</f>
        <v>0</v>
      </c>
      <c r="Q22" s="56">
        <f>'2-СД'!P20</f>
        <v>0</v>
      </c>
      <c r="R22" s="56">
        <f>'2-СД'!Q20</f>
        <v>0</v>
      </c>
      <c r="S22" s="56">
        <f>'2-СД'!R20</f>
        <v>0</v>
      </c>
      <c r="T22" s="56">
        <f>'2-СД'!S20</f>
        <v>0</v>
      </c>
      <c r="U22" s="56">
        <f>'2-СД'!T20</f>
        <v>0</v>
      </c>
      <c r="V22" s="56">
        <f>'2-СД'!U20</f>
        <v>0</v>
      </c>
      <c r="W22" s="56">
        <f>'2-СД'!V20</f>
        <v>0</v>
      </c>
      <c r="X22" s="56">
        <f>'2-СД'!W20</f>
        <v>0</v>
      </c>
      <c r="Y22" s="56">
        <f>'2-СД'!X20</f>
        <v>0</v>
      </c>
      <c r="Z22" s="56">
        <f>'2-СД'!Y20</f>
        <v>3</v>
      </c>
      <c r="AA22" s="56">
        <f>'2-СД'!Z20</f>
        <v>3</v>
      </c>
      <c r="AB22" s="56">
        <f>'2-СД'!AA20</f>
        <v>3</v>
      </c>
      <c r="AC22" s="56">
        <f>'2-СД'!AB20</f>
        <v>3</v>
      </c>
      <c r="AD22" s="56">
        <f>'2-СД'!AC20</f>
        <v>3</v>
      </c>
      <c r="AE22" s="56">
        <f>'2-СД'!AD20</f>
        <v>3</v>
      </c>
      <c r="AF22" s="56">
        <f>'2-СД'!AE20</f>
        <v>3</v>
      </c>
      <c r="AG22" s="56">
        <f>'2-СД'!AF20</f>
        <v>0</v>
      </c>
      <c r="AH22" s="56">
        <f>'2-СД'!AG20</f>
        <v>0</v>
      </c>
      <c r="AI22" s="56">
        <f>'2-СД'!AH20</f>
        <v>0</v>
      </c>
      <c r="AJ22" s="56">
        <f>'2-СД'!AI20</f>
        <v>0</v>
      </c>
      <c r="AK22" s="56">
        <f>'2-СД'!AJ20</f>
        <v>0</v>
      </c>
      <c r="AL22" s="56">
        <f>'2-СД'!AK20</f>
        <v>0</v>
      </c>
      <c r="AM22" s="56">
        <f>'2-СД'!AL20</f>
        <v>0</v>
      </c>
      <c r="AN22" s="56">
        <f>'2-СД'!AM20</f>
        <v>0</v>
      </c>
      <c r="AO22" s="56">
        <f>'2-СД'!AN20</f>
        <v>0</v>
      </c>
      <c r="AP22" s="56">
        <f>'2-СД'!AO20</f>
        <v>0</v>
      </c>
      <c r="AQ22" s="56">
        <f>'2-СД'!AP20</f>
        <v>0</v>
      </c>
      <c r="AR22" s="56">
        <f>'2-СД'!AQ20</f>
        <v>10</v>
      </c>
      <c r="AS22" s="56">
        <f>'2-СД'!AR20</f>
        <v>0</v>
      </c>
      <c r="AT22" s="56">
        <f>'2-СД'!AS20</f>
        <v>0</v>
      </c>
    </row>
    <row r="23" spans="1:46" ht="27.6" customHeight="1" x14ac:dyDescent="0.25">
      <c r="A23" s="77">
        <v>6</v>
      </c>
      <c r="B23" s="52" t="s">
        <v>99</v>
      </c>
      <c r="C23" s="89">
        <f>COUNTA('3-П'!B17:B68)</f>
        <v>52</v>
      </c>
      <c r="D23" s="53">
        <f>'3-П'!C69</f>
        <v>100</v>
      </c>
      <c r="E23" s="53">
        <f>'3-П'!D69</f>
        <v>50</v>
      </c>
      <c r="F23" s="53">
        <f>'3-П'!E69</f>
        <v>50</v>
      </c>
      <c r="G23" s="53">
        <f>'3-П'!F69</f>
        <v>0</v>
      </c>
      <c r="H23" s="53">
        <f>'3-П'!G69</f>
        <v>250</v>
      </c>
      <c r="I23" s="53">
        <f>'3-П'!H69</f>
        <v>50</v>
      </c>
      <c r="J23" s="53">
        <f>'3-П'!I69</f>
        <v>50</v>
      </c>
      <c r="K23" s="53">
        <f>'3-П'!J69</f>
        <v>0</v>
      </c>
      <c r="L23" s="53">
        <f>'3-П'!K69</f>
        <v>50</v>
      </c>
      <c r="M23" s="53">
        <f>'3-П'!L69</f>
        <v>50</v>
      </c>
      <c r="N23" s="53">
        <f>'3-П'!M69</f>
        <v>50</v>
      </c>
      <c r="O23" s="53">
        <f>'3-П'!N69</f>
        <v>0</v>
      </c>
      <c r="P23" s="53">
        <f>'3-П'!O69</f>
        <v>50</v>
      </c>
      <c r="Q23" s="53">
        <f>'3-П'!P69</f>
        <v>50</v>
      </c>
      <c r="R23" s="53">
        <f>'3-П'!Q69</f>
        <v>0</v>
      </c>
      <c r="S23" s="53">
        <f>'3-П'!R69</f>
        <v>0</v>
      </c>
      <c r="T23" s="53">
        <f>'3-П'!S69</f>
        <v>50</v>
      </c>
      <c r="U23" s="53">
        <f>'3-П'!T69</f>
        <v>0</v>
      </c>
      <c r="V23" s="53">
        <f>'3-П'!U69</f>
        <v>50</v>
      </c>
      <c r="W23" s="53">
        <f>'3-П'!V69</f>
        <v>50</v>
      </c>
      <c r="X23" s="53">
        <f>'3-П'!W69</f>
        <v>0</v>
      </c>
      <c r="Y23" s="53">
        <f>'3-П'!X69</f>
        <v>0</v>
      </c>
      <c r="Z23" s="53">
        <f>'3-П'!Y69</f>
        <v>0</v>
      </c>
      <c r="AA23" s="53">
        <f>'3-П'!Z69</f>
        <v>0</v>
      </c>
      <c r="AB23" s="53">
        <f>'3-П'!AA69</f>
        <v>0</v>
      </c>
      <c r="AC23" s="53">
        <f>'3-П'!AB69</f>
        <v>0</v>
      </c>
      <c r="AD23" s="53">
        <f>'3-П'!AC69</f>
        <v>50</v>
      </c>
      <c r="AE23" s="53">
        <f>'3-П'!AD69</f>
        <v>0</v>
      </c>
      <c r="AF23" s="53">
        <f>'3-П'!AE69</f>
        <v>0</v>
      </c>
      <c r="AG23" s="53">
        <f>'3-П'!AF69</f>
        <v>0</v>
      </c>
      <c r="AH23" s="53">
        <f>'3-П'!AG69</f>
        <v>0</v>
      </c>
      <c r="AI23" s="53">
        <f>'3-П'!AH69</f>
        <v>0</v>
      </c>
      <c r="AJ23" s="53">
        <f>'3-П'!AI69</f>
        <v>0</v>
      </c>
      <c r="AK23" s="53">
        <f>'3-П'!AJ69</f>
        <v>0</v>
      </c>
      <c r="AL23" s="53">
        <f>'3-П'!AK69</f>
        <v>0</v>
      </c>
      <c r="AM23" s="53">
        <f>'3-П'!AL69</f>
        <v>0</v>
      </c>
      <c r="AN23" s="53">
        <f>'3-П'!AM69</f>
        <v>0</v>
      </c>
      <c r="AO23" s="53">
        <f>'3-П'!AN69</f>
        <v>50</v>
      </c>
      <c r="AP23" s="53">
        <f>'3-П'!AO69</f>
        <v>0</v>
      </c>
      <c r="AQ23" s="53">
        <f>'3-П'!AP69</f>
        <v>0</v>
      </c>
      <c r="AR23" s="53">
        <f>'3-П'!AQ69</f>
        <v>1120</v>
      </c>
      <c r="AS23" s="53">
        <f>'3-П'!AR69</f>
        <v>0</v>
      </c>
      <c r="AT23" s="53">
        <f>'3-П'!AS69</f>
        <v>45</v>
      </c>
    </row>
    <row r="24" spans="1:46" ht="27.6" customHeight="1" x14ac:dyDescent="0.25">
      <c r="A24" s="79">
        <v>7</v>
      </c>
      <c r="B24" s="50" t="s">
        <v>98</v>
      </c>
      <c r="C24" s="90">
        <f>COUNTA('3-С'!B17:B68)</f>
        <v>52</v>
      </c>
      <c r="D24" s="44">
        <f>'3-С'!C69</f>
        <v>92</v>
      </c>
      <c r="E24" s="44">
        <f>'3-С'!D69</f>
        <v>46</v>
      </c>
      <c r="F24" s="44">
        <f>'3-С'!E69</f>
        <v>46</v>
      </c>
      <c r="G24" s="44">
        <f>'3-С'!F69</f>
        <v>0</v>
      </c>
      <c r="H24" s="44">
        <f>'3-С'!G69</f>
        <v>230</v>
      </c>
      <c r="I24" s="44">
        <f>'3-С'!H69</f>
        <v>46</v>
      </c>
      <c r="J24" s="44">
        <f>'3-С'!I69</f>
        <v>46</v>
      </c>
      <c r="K24" s="44">
        <f>'3-С'!J69</f>
        <v>0</v>
      </c>
      <c r="L24" s="44">
        <f>'3-С'!K69</f>
        <v>46</v>
      </c>
      <c r="M24" s="44">
        <f>'3-С'!L69</f>
        <v>46</v>
      </c>
      <c r="N24" s="44">
        <f>'3-С'!M69</f>
        <v>46</v>
      </c>
      <c r="O24" s="44">
        <f>'3-С'!N69</f>
        <v>0</v>
      </c>
      <c r="P24" s="44">
        <f>'3-С'!O69</f>
        <v>0</v>
      </c>
      <c r="Q24" s="44">
        <f>'3-С'!P69</f>
        <v>46</v>
      </c>
      <c r="R24" s="44">
        <f>'3-С'!Q69</f>
        <v>0</v>
      </c>
      <c r="S24" s="44">
        <f>'3-С'!R69</f>
        <v>0</v>
      </c>
      <c r="T24" s="44">
        <f>'3-С'!S69</f>
        <v>46</v>
      </c>
      <c r="U24" s="44">
        <f>'3-С'!T69</f>
        <v>0</v>
      </c>
      <c r="V24" s="44">
        <f>'3-С'!U69</f>
        <v>0</v>
      </c>
      <c r="W24" s="44">
        <f>'3-С'!V69</f>
        <v>0</v>
      </c>
      <c r="X24" s="44">
        <f>'3-С'!W69</f>
        <v>0</v>
      </c>
      <c r="Y24" s="44">
        <f>'3-С'!X69</f>
        <v>0</v>
      </c>
      <c r="Z24" s="44">
        <f>'3-С'!Y69</f>
        <v>0</v>
      </c>
      <c r="AA24" s="44">
        <f>'3-С'!Z69</f>
        <v>0</v>
      </c>
      <c r="AB24" s="44">
        <f>'3-С'!AA69</f>
        <v>0</v>
      </c>
      <c r="AC24" s="44">
        <f>'3-С'!AB69</f>
        <v>0</v>
      </c>
      <c r="AD24" s="44">
        <f>'3-С'!AC69</f>
        <v>46</v>
      </c>
      <c r="AE24" s="44">
        <f>'3-С'!AD69</f>
        <v>0</v>
      </c>
      <c r="AF24" s="44">
        <f>'3-С'!AE69</f>
        <v>0</v>
      </c>
      <c r="AG24" s="44">
        <f>'3-С'!AF69</f>
        <v>0</v>
      </c>
      <c r="AH24" s="44">
        <f>'3-С'!AG69</f>
        <v>0</v>
      </c>
      <c r="AI24" s="44">
        <f>'3-С'!AH69</f>
        <v>0</v>
      </c>
      <c r="AJ24" s="44">
        <f>'3-С'!AI69</f>
        <v>0</v>
      </c>
      <c r="AK24" s="44">
        <f>'3-С'!AJ69</f>
        <v>0</v>
      </c>
      <c r="AL24" s="44">
        <f>'3-С'!AK69</f>
        <v>0</v>
      </c>
      <c r="AM24" s="44">
        <f>'3-С'!AL69</f>
        <v>0</v>
      </c>
      <c r="AN24" s="44">
        <f>'3-С'!AM69</f>
        <v>0</v>
      </c>
      <c r="AO24" s="44">
        <f>'3-С'!AN69</f>
        <v>0</v>
      </c>
      <c r="AP24" s="44">
        <f>'3-С'!AO69</f>
        <v>0</v>
      </c>
      <c r="AQ24" s="44">
        <f>'3-С'!AP69</f>
        <v>0</v>
      </c>
      <c r="AR24" s="44">
        <f>'3-С'!AQ69</f>
        <v>570</v>
      </c>
      <c r="AS24" s="44">
        <f>'3-С'!AR69</f>
        <v>0</v>
      </c>
      <c r="AT24" s="44">
        <f>'3-С'!AS69</f>
        <v>51</v>
      </c>
    </row>
    <row r="25" spans="1:46" ht="27.6" customHeight="1" thickBot="1" x14ac:dyDescent="0.3">
      <c r="A25" s="78">
        <v>8</v>
      </c>
      <c r="B25" s="54" t="s">
        <v>97</v>
      </c>
      <c r="C25" s="90">
        <f>COUNTA('3-СД'!B17:B18)</f>
        <v>2</v>
      </c>
      <c r="D25" s="56">
        <f>'3-СД'!C19</f>
        <v>4</v>
      </c>
      <c r="E25" s="56">
        <f>'3-СД'!D19</f>
        <v>2</v>
      </c>
      <c r="F25" s="56">
        <f>'3-СД'!E19</f>
        <v>0</v>
      </c>
      <c r="G25" s="56">
        <f>'3-СД'!F19</f>
        <v>0</v>
      </c>
      <c r="H25" s="56">
        <f>'3-СД'!G19</f>
        <v>0</v>
      </c>
      <c r="I25" s="56">
        <f>'3-СД'!H19</f>
        <v>2</v>
      </c>
      <c r="J25" s="56">
        <f>'3-СД'!I19</f>
        <v>2</v>
      </c>
      <c r="K25" s="56">
        <f>'3-СД'!J19</f>
        <v>0</v>
      </c>
      <c r="L25" s="56">
        <f>'3-СД'!K19</f>
        <v>2</v>
      </c>
      <c r="M25" s="56">
        <f>'3-СД'!L19</f>
        <v>2</v>
      </c>
      <c r="N25" s="56">
        <f>'3-СД'!M19</f>
        <v>0</v>
      </c>
      <c r="O25" s="56">
        <f>'3-СД'!N19</f>
        <v>0</v>
      </c>
      <c r="P25" s="56">
        <f>'3-СД'!O19</f>
        <v>0</v>
      </c>
      <c r="Q25" s="56">
        <f>'3-СД'!P19</f>
        <v>0</v>
      </c>
      <c r="R25" s="56">
        <f>'3-СД'!Q19</f>
        <v>0</v>
      </c>
      <c r="S25" s="56">
        <f>'3-СД'!R19</f>
        <v>0</v>
      </c>
      <c r="T25" s="56">
        <f>'3-СД'!S19</f>
        <v>0</v>
      </c>
      <c r="U25" s="56">
        <f>'3-СД'!T19</f>
        <v>0</v>
      </c>
      <c r="V25" s="56">
        <f>'3-СД'!U19</f>
        <v>0</v>
      </c>
      <c r="W25" s="56">
        <f>'3-СД'!V19</f>
        <v>0</v>
      </c>
      <c r="X25" s="56">
        <f>'3-СД'!W19</f>
        <v>0</v>
      </c>
      <c r="Y25" s="56">
        <f>'3-СД'!X19</f>
        <v>0</v>
      </c>
      <c r="Z25" s="56">
        <f>'3-СД'!Y19</f>
        <v>0</v>
      </c>
      <c r="AA25" s="56">
        <f>'3-СД'!Z19</f>
        <v>2</v>
      </c>
      <c r="AB25" s="56">
        <f>'3-СД'!AA19</f>
        <v>2</v>
      </c>
      <c r="AC25" s="56">
        <f>'3-СД'!AB19</f>
        <v>2</v>
      </c>
      <c r="AD25" s="56">
        <f>'3-СД'!AC19</f>
        <v>2</v>
      </c>
      <c r="AE25" s="56">
        <f>'3-СД'!AD19</f>
        <v>2</v>
      </c>
      <c r="AF25" s="56">
        <f>'3-СД'!AE19</f>
        <v>2</v>
      </c>
      <c r="AG25" s="56">
        <f>'3-СД'!AF19</f>
        <v>0</v>
      </c>
      <c r="AH25" s="56">
        <f>'3-СД'!AG19</f>
        <v>0</v>
      </c>
      <c r="AI25" s="56">
        <f>'3-СД'!AH19</f>
        <v>0</v>
      </c>
      <c r="AJ25" s="56">
        <f>'3-СД'!AI19</f>
        <v>0</v>
      </c>
      <c r="AK25" s="56">
        <f>'3-СД'!AJ19</f>
        <v>0</v>
      </c>
      <c r="AL25" s="56">
        <f>'3-СД'!AK19</f>
        <v>0</v>
      </c>
      <c r="AM25" s="56">
        <f>'3-СД'!AL19</f>
        <v>0</v>
      </c>
      <c r="AN25" s="56">
        <f>'3-СД'!AM19</f>
        <v>0</v>
      </c>
      <c r="AO25" s="56">
        <f>'3-СД'!AN19</f>
        <v>0</v>
      </c>
      <c r="AP25" s="56">
        <f>'3-СД'!AO19</f>
        <v>0</v>
      </c>
      <c r="AQ25" s="56">
        <f>'3-СД'!AP19</f>
        <v>0</v>
      </c>
      <c r="AR25" s="56">
        <f>'3-СД'!AQ19</f>
        <v>0</v>
      </c>
      <c r="AS25" s="56">
        <f>'3-СД'!AR19</f>
        <v>0</v>
      </c>
      <c r="AT25" s="56">
        <f>'3-СД'!AS19</f>
        <v>0</v>
      </c>
    </row>
    <row r="26" spans="1:46" ht="27.6" customHeight="1" x14ac:dyDescent="0.25">
      <c r="A26" s="77">
        <v>9</v>
      </c>
      <c r="B26" s="52" t="s">
        <v>100</v>
      </c>
      <c r="C26" s="82">
        <f>COUNTA('СРО-П'!B17:B50)</f>
        <v>34</v>
      </c>
      <c r="D26" s="53">
        <f>'СРО-П'!C51</f>
        <v>68</v>
      </c>
      <c r="E26" s="53">
        <f>'СРО-П'!D51</f>
        <v>34</v>
      </c>
      <c r="F26" s="53">
        <f>'СРО-П'!E51</f>
        <v>34</v>
      </c>
      <c r="G26" s="53">
        <f>'СРО-П'!F51</f>
        <v>0</v>
      </c>
      <c r="H26" s="53">
        <f>'СРО-П'!G51</f>
        <v>170</v>
      </c>
      <c r="I26" s="53">
        <f>'СРО-П'!H51</f>
        <v>34</v>
      </c>
      <c r="J26" s="53">
        <f>'СРО-П'!I51</f>
        <v>34</v>
      </c>
      <c r="K26" s="53">
        <f>'СРО-П'!J51</f>
        <v>0</v>
      </c>
      <c r="L26" s="53">
        <f>'СРО-П'!K51</f>
        <v>34</v>
      </c>
      <c r="M26" s="53">
        <f>'СРО-П'!L51</f>
        <v>34</v>
      </c>
      <c r="N26" s="53">
        <f>'СРО-П'!M51</f>
        <v>34</v>
      </c>
      <c r="O26" s="53">
        <f>'СРО-П'!N51</f>
        <v>0</v>
      </c>
      <c r="P26" s="53">
        <f>'СРО-П'!O51</f>
        <v>34</v>
      </c>
      <c r="Q26" s="53">
        <f>'СРО-П'!P51</f>
        <v>34</v>
      </c>
      <c r="R26" s="53">
        <f>'СРО-П'!Q51</f>
        <v>0</v>
      </c>
      <c r="S26" s="53">
        <f>'СРО-П'!R51</f>
        <v>0</v>
      </c>
      <c r="T26" s="53">
        <f>'СРО-П'!S51</f>
        <v>34</v>
      </c>
      <c r="U26" s="53">
        <f>'СРО-П'!T51</f>
        <v>0</v>
      </c>
      <c r="V26" s="53">
        <f>'СРО-П'!U51</f>
        <v>34</v>
      </c>
      <c r="W26" s="53">
        <f>'СРО-П'!V51</f>
        <v>34</v>
      </c>
      <c r="X26" s="53">
        <f>'СРО-П'!W51</f>
        <v>0</v>
      </c>
      <c r="Y26" s="53">
        <f>'СРО-П'!X51</f>
        <v>0</v>
      </c>
      <c r="Z26" s="53">
        <f>'СРО-П'!Y51</f>
        <v>34</v>
      </c>
      <c r="AA26" s="53">
        <f>'СРО-П'!Z51</f>
        <v>0</v>
      </c>
      <c r="AB26" s="53">
        <f>'СРО-П'!AA51</f>
        <v>0</v>
      </c>
      <c r="AC26" s="53">
        <f>'СРО-П'!AB51</f>
        <v>0</v>
      </c>
      <c r="AD26" s="53">
        <f>'СРО-П'!AC51</f>
        <v>34</v>
      </c>
      <c r="AE26" s="53">
        <f>'СРО-П'!AD51</f>
        <v>0</v>
      </c>
      <c r="AF26" s="53">
        <f>'СРО-П'!AE51</f>
        <v>0</v>
      </c>
      <c r="AG26" s="53">
        <f>'СРО-П'!AF51</f>
        <v>0</v>
      </c>
      <c r="AH26" s="53">
        <f>'СРО-П'!AG51</f>
        <v>0</v>
      </c>
      <c r="AI26" s="53">
        <f>'СРО-П'!AH51</f>
        <v>0</v>
      </c>
      <c r="AJ26" s="53">
        <f>'СРО-П'!AI51</f>
        <v>0</v>
      </c>
      <c r="AK26" s="53">
        <f>'СРО-П'!AJ51</f>
        <v>0</v>
      </c>
      <c r="AL26" s="53">
        <f>'СРО-П'!AK51</f>
        <v>0</v>
      </c>
      <c r="AM26" s="53">
        <f>'СРО-П'!AL51</f>
        <v>0</v>
      </c>
      <c r="AN26" s="53">
        <f>'СРО-П'!AM51</f>
        <v>0</v>
      </c>
      <c r="AO26" s="53">
        <f>'СРО-П'!AN51</f>
        <v>34</v>
      </c>
      <c r="AP26" s="53">
        <f>'СРО-П'!AO51</f>
        <v>0</v>
      </c>
      <c r="AQ26" s="53">
        <f>'СРО-П'!AP51</f>
        <v>0</v>
      </c>
      <c r="AR26" s="53">
        <f>'СРО-П'!AQ51</f>
        <v>440</v>
      </c>
      <c r="AS26" s="53">
        <f>'СРО-П'!AR51</f>
        <v>0</v>
      </c>
      <c r="AT26" s="53">
        <f>'СРО-П'!AS51</f>
        <v>0</v>
      </c>
    </row>
    <row r="27" spans="1:46" ht="27.6" customHeight="1" x14ac:dyDescent="0.25">
      <c r="A27" s="79">
        <v>10</v>
      </c>
      <c r="B27" s="50" t="s">
        <v>101</v>
      </c>
      <c r="C27" s="83">
        <f>COUNTA('СРО-С'!B17:B45)</f>
        <v>29</v>
      </c>
      <c r="D27" s="44">
        <f>'СРО-С'!C46</f>
        <v>58</v>
      </c>
      <c r="E27" s="44">
        <f>'СРО-С'!D46</f>
        <v>29</v>
      </c>
      <c r="F27" s="44">
        <f>'СРО-С'!E46</f>
        <v>29</v>
      </c>
      <c r="G27" s="44">
        <f>'СРО-С'!F46</f>
        <v>0</v>
      </c>
      <c r="H27" s="44">
        <f>'СРО-С'!G46</f>
        <v>145</v>
      </c>
      <c r="I27" s="44">
        <f>'СРО-С'!H46</f>
        <v>29</v>
      </c>
      <c r="J27" s="44">
        <f>'СРО-С'!I46</f>
        <v>29</v>
      </c>
      <c r="K27" s="44">
        <f>'СРО-С'!J46</f>
        <v>0</v>
      </c>
      <c r="L27" s="44">
        <f>'СРО-С'!K46</f>
        <v>29</v>
      </c>
      <c r="M27" s="44">
        <f>'СРО-С'!L46</f>
        <v>29</v>
      </c>
      <c r="N27" s="44">
        <f>'СРО-С'!M46</f>
        <v>29</v>
      </c>
      <c r="O27" s="44">
        <f>'СРО-С'!N46</f>
        <v>0</v>
      </c>
      <c r="P27" s="44">
        <f>'СРО-С'!O46</f>
        <v>0</v>
      </c>
      <c r="Q27" s="44">
        <f>'СРО-С'!P46</f>
        <v>29</v>
      </c>
      <c r="R27" s="44">
        <f>'СРО-С'!Q46</f>
        <v>0</v>
      </c>
      <c r="S27" s="44">
        <f>'СРО-С'!R46</f>
        <v>0</v>
      </c>
      <c r="T27" s="44">
        <f>'СРО-С'!S46</f>
        <v>29</v>
      </c>
      <c r="U27" s="44">
        <f>'СРО-С'!T46</f>
        <v>0</v>
      </c>
      <c r="V27" s="44">
        <f>'СРО-С'!U46</f>
        <v>0</v>
      </c>
      <c r="W27" s="44">
        <f>'СРО-С'!V46</f>
        <v>0</v>
      </c>
      <c r="X27" s="44">
        <f>'СРО-С'!W46</f>
        <v>0</v>
      </c>
      <c r="Y27" s="44">
        <f>'СРО-С'!X46</f>
        <v>0</v>
      </c>
      <c r="Z27" s="44">
        <f>'СРО-С'!Y46</f>
        <v>29</v>
      </c>
      <c r="AA27" s="44">
        <f>'СРО-С'!Z46</f>
        <v>0</v>
      </c>
      <c r="AB27" s="44">
        <f>'СРО-С'!AA46</f>
        <v>0</v>
      </c>
      <c r="AC27" s="44">
        <f>'СРО-С'!AB46</f>
        <v>0</v>
      </c>
      <c r="AD27" s="44">
        <f>'СРО-С'!AC46</f>
        <v>29</v>
      </c>
      <c r="AE27" s="44">
        <f>'СРО-С'!AD46</f>
        <v>0</v>
      </c>
      <c r="AF27" s="44">
        <f>'СРО-С'!AE46</f>
        <v>0</v>
      </c>
      <c r="AG27" s="44">
        <f>'СРО-С'!AF46</f>
        <v>0</v>
      </c>
      <c r="AH27" s="44">
        <f>'СРО-С'!AG46</f>
        <v>0</v>
      </c>
      <c r="AI27" s="44">
        <f>'СРО-С'!AH46</f>
        <v>0</v>
      </c>
      <c r="AJ27" s="44">
        <f>'СРО-С'!AI46</f>
        <v>0</v>
      </c>
      <c r="AK27" s="44">
        <f>'СРО-С'!AJ46</f>
        <v>0</v>
      </c>
      <c r="AL27" s="44">
        <f>'СРО-С'!AK46</f>
        <v>0</v>
      </c>
      <c r="AM27" s="44">
        <f>'СРО-С'!AL46</f>
        <v>0</v>
      </c>
      <c r="AN27" s="44">
        <f>'СРО-С'!AM46</f>
        <v>0</v>
      </c>
      <c r="AO27" s="44">
        <f>'СРО-С'!AN46</f>
        <v>29</v>
      </c>
      <c r="AP27" s="44">
        <f>'СРО-С'!AO46</f>
        <v>0</v>
      </c>
      <c r="AQ27" s="44">
        <f>'СРО-С'!AP46</f>
        <v>0</v>
      </c>
      <c r="AR27" s="44">
        <f>'СРО-С'!AQ46</f>
        <v>260</v>
      </c>
      <c r="AS27" s="44">
        <f>'СРО-С'!AR46</f>
        <v>0</v>
      </c>
      <c r="AT27" s="44">
        <f>'СРО-С'!AS46</f>
        <v>0</v>
      </c>
    </row>
    <row r="28" spans="1:46" ht="27.6" customHeight="1" thickBot="1" x14ac:dyDescent="0.3">
      <c r="A28" s="78">
        <v>11</v>
      </c>
      <c r="B28" s="54" t="s">
        <v>102</v>
      </c>
      <c r="C28" s="83">
        <f>COUNTA('СРО-СД'!B17:B19)</f>
        <v>3</v>
      </c>
      <c r="D28" s="56">
        <f>'СРО-СД'!C20</f>
        <v>6</v>
      </c>
      <c r="E28" s="56">
        <f>'СРО-СД'!D20</f>
        <v>3</v>
      </c>
      <c r="F28" s="56">
        <f>'СРО-СД'!E20</f>
        <v>3</v>
      </c>
      <c r="G28" s="56">
        <f>'СРО-СД'!F20</f>
        <v>0</v>
      </c>
      <c r="H28" s="56">
        <f>'СРО-СД'!G20</f>
        <v>15</v>
      </c>
      <c r="I28" s="56">
        <f>'СРО-СД'!H20</f>
        <v>3</v>
      </c>
      <c r="J28" s="56">
        <f>'СРО-СД'!I20</f>
        <v>3</v>
      </c>
      <c r="K28" s="56">
        <f>'СРО-СД'!J20</f>
        <v>0</v>
      </c>
      <c r="L28" s="56">
        <f>'СРО-СД'!K20</f>
        <v>3</v>
      </c>
      <c r="M28" s="56">
        <f>'СРО-СД'!L20</f>
        <v>3</v>
      </c>
      <c r="N28" s="56">
        <f>'СРО-СД'!M20</f>
        <v>0</v>
      </c>
      <c r="O28" s="56">
        <f>'СРО-СД'!N20</f>
        <v>0</v>
      </c>
      <c r="P28" s="56">
        <f>'СРО-СД'!O20</f>
        <v>0</v>
      </c>
      <c r="Q28" s="56">
        <f>'СРО-СД'!P20</f>
        <v>0</v>
      </c>
      <c r="R28" s="56">
        <f>'СРО-СД'!Q20</f>
        <v>0</v>
      </c>
      <c r="S28" s="56">
        <f>'СРО-СД'!R20</f>
        <v>0</v>
      </c>
      <c r="T28" s="56">
        <f>'СРО-СД'!S20</f>
        <v>0</v>
      </c>
      <c r="U28" s="56">
        <f>'СРО-СД'!T20</f>
        <v>0</v>
      </c>
      <c r="V28" s="56">
        <f>'СРО-СД'!U20</f>
        <v>0</v>
      </c>
      <c r="W28" s="56">
        <f>'СРО-СД'!V20</f>
        <v>0</v>
      </c>
      <c r="X28" s="56">
        <f>'СРО-СД'!W20</f>
        <v>0</v>
      </c>
      <c r="Y28" s="56">
        <f>'СРО-СД'!X20</f>
        <v>0</v>
      </c>
      <c r="Z28" s="56">
        <f>'СРО-СД'!Y20</f>
        <v>3</v>
      </c>
      <c r="AA28" s="56">
        <f>'СРО-СД'!Z20</f>
        <v>3</v>
      </c>
      <c r="AB28" s="56">
        <f>'СРО-СД'!AA20</f>
        <v>3</v>
      </c>
      <c r="AC28" s="56">
        <f>'СРО-СД'!AB20</f>
        <v>3</v>
      </c>
      <c r="AD28" s="56">
        <f>'СРО-СД'!AC20</f>
        <v>3</v>
      </c>
      <c r="AE28" s="56">
        <f>'СРО-СД'!AD20</f>
        <v>3</v>
      </c>
      <c r="AF28" s="56">
        <f>'СРО-СД'!AE20</f>
        <v>3</v>
      </c>
      <c r="AG28" s="56">
        <f>'СРО-СД'!AF20</f>
        <v>0</v>
      </c>
      <c r="AH28" s="56">
        <f>'СРО-СД'!AG20</f>
        <v>0</v>
      </c>
      <c r="AI28" s="56">
        <f>'СРО-СД'!AH20</f>
        <v>0</v>
      </c>
      <c r="AJ28" s="56">
        <f>'СРО-СД'!AI20</f>
        <v>0</v>
      </c>
      <c r="AK28" s="56">
        <f>'СРО-СД'!AJ20</f>
        <v>0</v>
      </c>
      <c r="AL28" s="56">
        <f>'СРО-СД'!AK20</f>
        <v>0</v>
      </c>
      <c r="AM28" s="56">
        <f>'СРО-СД'!AL20</f>
        <v>0</v>
      </c>
      <c r="AN28" s="56">
        <f>'СРО-СД'!AM20</f>
        <v>0</v>
      </c>
      <c r="AO28" s="56">
        <f>'СРО-СД'!AN20</f>
        <v>0</v>
      </c>
      <c r="AP28" s="56">
        <f>'СРО-СД'!AO20</f>
        <v>0</v>
      </c>
      <c r="AQ28" s="56">
        <f>'СРО-СД'!AP20</f>
        <v>0</v>
      </c>
      <c r="AR28" s="56">
        <f>'СРО-СД'!AQ20</f>
        <v>0</v>
      </c>
      <c r="AS28" s="56">
        <f>'СРО-СД'!AR20</f>
        <v>0</v>
      </c>
      <c r="AT28" s="56">
        <f>'СРО-СД'!AS20</f>
        <v>0</v>
      </c>
    </row>
    <row r="29" spans="1:46" ht="36.75" customHeight="1" x14ac:dyDescent="0.25">
      <c r="A29" s="77">
        <v>12</v>
      </c>
      <c r="B29" s="69" t="s">
        <v>308</v>
      </c>
      <c r="C29" s="89">
        <f>COUNTA('ОМ-ЩП'!B17:B64)</f>
        <v>48</v>
      </c>
      <c r="D29" s="53">
        <f>'ОМ-ЩП'!C65</f>
        <v>96</v>
      </c>
      <c r="E29" s="53">
        <f>'ОМ-ЩП'!D65</f>
        <v>48</v>
      </c>
      <c r="F29" s="53">
        <f>'ОМ-ЩП'!E65</f>
        <v>48</v>
      </c>
      <c r="G29" s="53">
        <f>'ОМ-ЩП'!F65</f>
        <v>0</v>
      </c>
      <c r="H29" s="53">
        <f>'ОМ-ЩП'!G65</f>
        <v>240</v>
      </c>
      <c r="I29" s="53">
        <f>'ОМ-ЩП'!H65</f>
        <v>0</v>
      </c>
      <c r="J29" s="53">
        <f>'ОМ-ЩП'!I65</f>
        <v>0</v>
      </c>
      <c r="K29" s="53">
        <f>'ОМ-ЩП'!J65</f>
        <v>0</v>
      </c>
      <c r="L29" s="53">
        <f>'ОМ-ЩП'!K65</f>
        <v>0</v>
      </c>
      <c r="M29" s="53">
        <f>'ОМ-ЩП'!L65</f>
        <v>0</v>
      </c>
      <c r="N29" s="53">
        <f>'ОМ-ЩП'!M65</f>
        <v>0</v>
      </c>
      <c r="O29" s="53">
        <f>'ОМ-ЩП'!N65</f>
        <v>0</v>
      </c>
      <c r="P29" s="53">
        <f>'ОМ-ЩП'!O65</f>
        <v>48</v>
      </c>
      <c r="Q29" s="53">
        <f>'ОМ-ЩП'!P65</f>
        <v>0</v>
      </c>
      <c r="R29" s="53">
        <f>'ОМ-ЩП'!Q65</f>
        <v>0</v>
      </c>
      <c r="S29" s="53">
        <f>'ОМ-ЩП'!R65</f>
        <v>0</v>
      </c>
      <c r="T29" s="53">
        <f>'ОМ-ЩП'!S65</f>
        <v>48</v>
      </c>
      <c r="U29" s="53">
        <f>'ОМ-ЩП'!T65</f>
        <v>0</v>
      </c>
      <c r="V29" s="53">
        <f>'ОМ-ЩП'!U65</f>
        <v>0</v>
      </c>
      <c r="W29" s="53">
        <f>'ОМ-ЩП'!V65</f>
        <v>0</v>
      </c>
      <c r="X29" s="53">
        <f>'ОМ-ЩП'!W65</f>
        <v>0</v>
      </c>
      <c r="Y29" s="53">
        <f>'ОМ-ЩП'!X65</f>
        <v>0</v>
      </c>
      <c r="Z29" s="53">
        <f>'ОМ-ЩП'!Y65</f>
        <v>48</v>
      </c>
      <c r="AA29" s="53">
        <f>'ОМ-ЩП'!Z65</f>
        <v>0</v>
      </c>
      <c r="AB29" s="53">
        <f>'ОМ-ЩП'!AA65</f>
        <v>0</v>
      </c>
      <c r="AC29" s="53">
        <f>'ОМ-ЩП'!AB65</f>
        <v>0</v>
      </c>
      <c r="AD29" s="53">
        <f>'ОМ-ЩП'!AC65</f>
        <v>48</v>
      </c>
      <c r="AE29" s="53">
        <f>'ОМ-ЩП'!AD65</f>
        <v>0</v>
      </c>
      <c r="AF29" s="53">
        <f>'ОМ-ЩП'!AE65</f>
        <v>0</v>
      </c>
      <c r="AG29" s="53">
        <f>'ОМ-ЩП'!AF65</f>
        <v>48</v>
      </c>
      <c r="AH29" s="53">
        <f>'ОМ-ЩП'!AG65</f>
        <v>0</v>
      </c>
      <c r="AI29" s="53">
        <f>'ОМ-ЩП'!AH65</f>
        <v>48</v>
      </c>
      <c r="AJ29" s="53">
        <f>'ОМ-ЩП'!AI65</f>
        <v>48</v>
      </c>
      <c r="AK29" s="53">
        <f>'ОМ-ЩП'!AJ65</f>
        <v>48</v>
      </c>
      <c r="AL29" s="53">
        <f>'ОМ-ЩП'!AK65</f>
        <v>48</v>
      </c>
      <c r="AM29" s="53">
        <f>'ОМ-ЩП'!AL65</f>
        <v>48</v>
      </c>
      <c r="AN29" s="53">
        <f>'ОМ-ЩП'!AM65</f>
        <v>48</v>
      </c>
      <c r="AO29" s="53">
        <f>'ОМ-ЩП'!AN65</f>
        <v>48</v>
      </c>
      <c r="AP29" s="53">
        <f>'ОМ-ЩП'!AO65</f>
        <v>0</v>
      </c>
      <c r="AQ29" s="53">
        <f>'ОМ-ЩП'!AP65</f>
        <v>0</v>
      </c>
      <c r="AR29" s="53">
        <f>'ОМ-ЩП'!AQ65</f>
        <v>340</v>
      </c>
      <c r="AS29" s="53">
        <f>'ОМ-ЩП'!AR65</f>
        <v>0</v>
      </c>
      <c r="AT29" s="53">
        <f>'ОМ-ЩП'!AS65</f>
        <v>0</v>
      </c>
    </row>
    <row r="30" spans="1:46" ht="27.6" customHeight="1" x14ac:dyDescent="0.25">
      <c r="A30" s="79">
        <v>13</v>
      </c>
      <c r="B30" s="70" t="s">
        <v>309</v>
      </c>
      <c r="C30" s="90">
        <f>COUNTA('ОМ-П'!B17:B40)</f>
        <v>24</v>
      </c>
      <c r="D30" s="44">
        <f>'ОМ-П'!C41</f>
        <v>48</v>
      </c>
      <c r="E30" s="44">
        <f>'ОМ-П'!D41</f>
        <v>24</v>
      </c>
      <c r="F30" s="44">
        <f>'ОМ-П'!E41</f>
        <v>24</v>
      </c>
      <c r="G30" s="44">
        <f>'ОМ-П'!F41</f>
        <v>0</v>
      </c>
      <c r="H30" s="44">
        <f>'ОМ-П'!G41</f>
        <v>120</v>
      </c>
      <c r="I30" s="44">
        <f>'ОМ-П'!H41</f>
        <v>24</v>
      </c>
      <c r="J30" s="44">
        <f>'ОМ-П'!I41</f>
        <v>24</v>
      </c>
      <c r="K30" s="44">
        <f>'ОМ-П'!J41</f>
        <v>0</v>
      </c>
      <c r="L30" s="44">
        <f>'ОМ-П'!K41</f>
        <v>24</v>
      </c>
      <c r="M30" s="44">
        <f>'ОМ-П'!L41</f>
        <v>24</v>
      </c>
      <c r="N30" s="44">
        <f>'ОМ-П'!M41</f>
        <v>24</v>
      </c>
      <c r="O30" s="44">
        <f>'ОМ-П'!N41</f>
        <v>0</v>
      </c>
      <c r="P30" s="44">
        <f>'ОМ-П'!O41</f>
        <v>24</v>
      </c>
      <c r="Q30" s="44">
        <f>'ОМ-П'!P41</f>
        <v>24</v>
      </c>
      <c r="R30" s="44">
        <f>'ОМ-П'!Q41</f>
        <v>0</v>
      </c>
      <c r="S30" s="44">
        <f>'ОМ-П'!R41</f>
        <v>0</v>
      </c>
      <c r="T30" s="44">
        <f>'ОМ-П'!S41</f>
        <v>24</v>
      </c>
      <c r="U30" s="44">
        <f>'ОМ-П'!T41</f>
        <v>0</v>
      </c>
      <c r="V30" s="44">
        <f>'ОМ-П'!U41</f>
        <v>24</v>
      </c>
      <c r="W30" s="44">
        <f>'ОМ-П'!V41</f>
        <v>24</v>
      </c>
      <c r="X30" s="44">
        <f>'ОМ-П'!W41</f>
        <v>0</v>
      </c>
      <c r="Y30" s="44">
        <f>'ОМ-П'!X41</f>
        <v>0</v>
      </c>
      <c r="Z30" s="44">
        <f>'ОМ-П'!Y41</f>
        <v>24</v>
      </c>
      <c r="AA30" s="44">
        <f>'ОМ-П'!Z41</f>
        <v>0</v>
      </c>
      <c r="AB30" s="44">
        <f>'ОМ-П'!AA41</f>
        <v>0</v>
      </c>
      <c r="AC30" s="44">
        <f>'ОМ-П'!AB41</f>
        <v>0</v>
      </c>
      <c r="AD30" s="44">
        <f>'ОМ-П'!AC41</f>
        <v>24</v>
      </c>
      <c r="AE30" s="44">
        <f>'ОМ-П'!AD41</f>
        <v>0</v>
      </c>
      <c r="AF30" s="44">
        <f>'ОМ-П'!AE41</f>
        <v>0</v>
      </c>
      <c r="AG30" s="44">
        <f>'ОМ-П'!AF41</f>
        <v>0</v>
      </c>
      <c r="AH30" s="44">
        <f>'ОМ-П'!AG41</f>
        <v>0</v>
      </c>
      <c r="AI30" s="44">
        <f>'ОМ-П'!AH41</f>
        <v>0</v>
      </c>
      <c r="AJ30" s="44">
        <f>'ОМ-П'!AI41</f>
        <v>0</v>
      </c>
      <c r="AK30" s="44">
        <f>'ОМ-П'!AJ41</f>
        <v>0</v>
      </c>
      <c r="AL30" s="44">
        <f>'ОМ-П'!AK41</f>
        <v>0</v>
      </c>
      <c r="AM30" s="44">
        <f>'ОМ-П'!AL41</f>
        <v>0</v>
      </c>
      <c r="AN30" s="44">
        <f>'ОМ-П'!AM41</f>
        <v>0</v>
      </c>
      <c r="AO30" s="44">
        <f>'ОМ-П'!AN41</f>
        <v>24</v>
      </c>
      <c r="AP30" s="44">
        <f>'ОМ-П'!AO41</f>
        <v>0</v>
      </c>
      <c r="AQ30" s="44">
        <f>'ОМ-П'!AP41</f>
        <v>0</v>
      </c>
      <c r="AR30" s="44">
        <f>'ОМ-П'!AQ41</f>
        <v>300</v>
      </c>
      <c r="AS30" s="44">
        <f>'ОМ-П'!AR41</f>
        <v>0</v>
      </c>
      <c r="AT30" s="44">
        <f>'ОМ-П'!AS41</f>
        <v>0</v>
      </c>
    </row>
    <row r="31" spans="1:46" ht="27.6" customHeight="1" x14ac:dyDescent="0.25">
      <c r="A31" s="79">
        <v>14</v>
      </c>
      <c r="B31" s="70" t="s">
        <v>310</v>
      </c>
      <c r="C31" s="90">
        <f>COUNTA('ОМ-С'!B17:B28)</f>
        <v>12</v>
      </c>
      <c r="D31" s="44">
        <f>'ОМ-С'!C29</f>
        <v>24</v>
      </c>
      <c r="E31" s="44">
        <f>'ОМ-С'!D29</f>
        <v>12</v>
      </c>
      <c r="F31" s="44">
        <f>'ОМ-С'!E29</f>
        <v>12</v>
      </c>
      <c r="G31" s="44">
        <f>'ОМ-С'!F29</f>
        <v>0</v>
      </c>
      <c r="H31" s="44">
        <f>'ОМ-С'!G29</f>
        <v>60</v>
      </c>
      <c r="I31" s="44">
        <f>'ОМ-С'!H29</f>
        <v>12</v>
      </c>
      <c r="J31" s="44">
        <f>'ОМ-С'!I29</f>
        <v>12</v>
      </c>
      <c r="K31" s="44">
        <f>'ОМ-С'!J29</f>
        <v>0</v>
      </c>
      <c r="L31" s="44">
        <f>'ОМ-С'!K29</f>
        <v>12</v>
      </c>
      <c r="M31" s="44">
        <f>'ОМ-С'!L29</f>
        <v>12</v>
      </c>
      <c r="N31" s="44">
        <f>'ОМ-С'!M29</f>
        <v>12</v>
      </c>
      <c r="O31" s="44">
        <f>'ОМ-С'!N29</f>
        <v>0</v>
      </c>
      <c r="P31" s="44">
        <f>'ОМ-С'!O29</f>
        <v>0</v>
      </c>
      <c r="Q31" s="44">
        <f>'ОМ-С'!P29</f>
        <v>12</v>
      </c>
      <c r="R31" s="44">
        <f>'ОМ-С'!Q29</f>
        <v>0</v>
      </c>
      <c r="S31" s="44">
        <f>'ОМ-С'!R29</f>
        <v>0</v>
      </c>
      <c r="T31" s="44">
        <f>'ОМ-С'!S29</f>
        <v>12</v>
      </c>
      <c r="U31" s="44">
        <f>'ОМ-С'!T29</f>
        <v>0</v>
      </c>
      <c r="V31" s="44">
        <f>'ОМ-С'!U29</f>
        <v>0</v>
      </c>
      <c r="W31" s="44">
        <f>'ОМ-С'!V29</f>
        <v>0</v>
      </c>
      <c r="X31" s="44">
        <f>'ОМ-С'!W29</f>
        <v>0</v>
      </c>
      <c r="Y31" s="44">
        <f>'ОМ-С'!X29</f>
        <v>0</v>
      </c>
      <c r="Z31" s="44">
        <f>'ОМ-С'!Y29</f>
        <v>12</v>
      </c>
      <c r="AA31" s="44">
        <f>'ОМ-С'!Z29</f>
        <v>0</v>
      </c>
      <c r="AB31" s="44">
        <f>'ОМ-С'!AA29</f>
        <v>0</v>
      </c>
      <c r="AC31" s="44">
        <f>'ОМ-С'!AB29</f>
        <v>0</v>
      </c>
      <c r="AD31" s="44">
        <f>'ОМ-С'!AC29</f>
        <v>12</v>
      </c>
      <c r="AE31" s="44">
        <f>'ОМ-С'!AD29</f>
        <v>0</v>
      </c>
      <c r="AF31" s="44">
        <f>'ОМ-С'!AE29</f>
        <v>0</v>
      </c>
      <c r="AG31" s="44">
        <f>'ОМ-С'!AF29</f>
        <v>0</v>
      </c>
      <c r="AH31" s="44">
        <f>'ОМ-С'!AG29</f>
        <v>0</v>
      </c>
      <c r="AI31" s="44">
        <f>'ОМ-С'!AH29</f>
        <v>0</v>
      </c>
      <c r="AJ31" s="44">
        <f>'ОМ-С'!AI29</f>
        <v>0</v>
      </c>
      <c r="AK31" s="44">
        <f>'ОМ-С'!AJ29</f>
        <v>0</v>
      </c>
      <c r="AL31" s="44">
        <f>'ОМ-С'!AK29</f>
        <v>0</v>
      </c>
      <c r="AM31" s="44">
        <f>'ОМ-С'!AL29</f>
        <v>0</v>
      </c>
      <c r="AN31" s="44">
        <f>'ОМ-С'!AM29</f>
        <v>0</v>
      </c>
      <c r="AO31" s="44">
        <f>'ОМ-С'!AN29</f>
        <v>12</v>
      </c>
      <c r="AP31" s="44">
        <f>'ОМ-С'!AO29</f>
        <v>0</v>
      </c>
      <c r="AQ31" s="44">
        <f>'ОМ-С'!AP29</f>
        <v>0</v>
      </c>
      <c r="AR31" s="44">
        <f>'ОМ-С'!AQ29</f>
        <v>70</v>
      </c>
      <c r="AS31" s="44">
        <f>'ОМ-С'!AR29</f>
        <v>0</v>
      </c>
      <c r="AT31" s="44">
        <f>'ОМ-С'!AS29</f>
        <v>0</v>
      </c>
    </row>
    <row r="32" spans="1:46" ht="27.6" customHeight="1" thickBot="1" x14ac:dyDescent="0.3">
      <c r="A32" s="78">
        <v>15</v>
      </c>
      <c r="B32" s="71" t="s">
        <v>311</v>
      </c>
      <c r="C32" s="91">
        <f>COUNTA('ОМ-СД'!B17:B20)</f>
        <v>4</v>
      </c>
      <c r="D32" s="56">
        <f>'ОМ-СД'!C21</f>
        <v>8</v>
      </c>
      <c r="E32" s="56">
        <f>'ОМ-СД'!D21</f>
        <v>4</v>
      </c>
      <c r="F32" s="56">
        <f>'ОМ-СД'!E21</f>
        <v>4</v>
      </c>
      <c r="G32" s="56">
        <f>'ОМ-СД'!F21</f>
        <v>0</v>
      </c>
      <c r="H32" s="56">
        <f>'ОМ-СД'!G21</f>
        <v>20</v>
      </c>
      <c r="I32" s="56">
        <f>'ОМ-СД'!H21</f>
        <v>4</v>
      </c>
      <c r="J32" s="56">
        <f>'ОМ-СД'!I21</f>
        <v>4</v>
      </c>
      <c r="K32" s="56">
        <f>'ОМ-СД'!J21</f>
        <v>0</v>
      </c>
      <c r="L32" s="56">
        <f>'ОМ-СД'!K21</f>
        <v>4</v>
      </c>
      <c r="M32" s="56">
        <f>'ОМ-СД'!L21</f>
        <v>4</v>
      </c>
      <c r="N32" s="56">
        <f>'ОМ-СД'!M21</f>
        <v>0</v>
      </c>
      <c r="O32" s="56">
        <f>'ОМ-СД'!N21</f>
        <v>0</v>
      </c>
      <c r="P32" s="56">
        <f>'ОМ-СД'!O21</f>
        <v>0</v>
      </c>
      <c r="Q32" s="56">
        <f>'ОМ-СД'!P21</f>
        <v>0</v>
      </c>
      <c r="R32" s="56">
        <f>'ОМ-СД'!Q21</f>
        <v>0</v>
      </c>
      <c r="S32" s="56">
        <f>'ОМ-СД'!R21</f>
        <v>0</v>
      </c>
      <c r="T32" s="56">
        <f>'ОМ-СД'!S21</f>
        <v>0</v>
      </c>
      <c r="U32" s="56">
        <f>'ОМ-СД'!T21</f>
        <v>0</v>
      </c>
      <c r="V32" s="56">
        <f>'ОМ-СД'!U21</f>
        <v>0</v>
      </c>
      <c r="W32" s="56">
        <f>'ОМ-СД'!V21</f>
        <v>0</v>
      </c>
      <c r="X32" s="56">
        <f>'ОМ-СД'!W21</f>
        <v>0</v>
      </c>
      <c r="Y32" s="56">
        <f>'ОМ-СД'!X21</f>
        <v>0</v>
      </c>
      <c r="Z32" s="56">
        <f>'ОМ-СД'!Y21</f>
        <v>4</v>
      </c>
      <c r="AA32" s="56">
        <f>'ОМ-СД'!Z21</f>
        <v>4</v>
      </c>
      <c r="AB32" s="56">
        <f>'ОМ-СД'!AA21</f>
        <v>4</v>
      </c>
      <c r="AC32" s="56">
        <f>'ОМ-СД'!AB21</f>
        <v>4</v>
      </c>
      <c r="AD32" s="56">
        <f>'ОМ-СД'!AC21</f>
        <v>4</v>
      </c>
      <c r="AE32" s="56">
        <f>'ОМ-СД'!AD21</f>
        <v>4</v>
      </c>
      <c r="AF32" s="56">
        <f>'ОМ-СД'!AE21</f>
        <v>4</v>
      </c>
      <c r="AG32" s="56">
        <f>'ОМ-СД'!AF21</f>
        <v>0</v>
      </c>
      <c r="AH32" s="56">
        <f>'ОМ-СД'!AG21</f>
        <v>0</v>
      </c>
      <c r="AI32" s="56">
        <f>'ОМ-СД'!AH21</f>
        <v>0</v>
      </c>
      <c r="AJ32" s="56">
        <f>'ОМ-СД'!AI21</f>
        <v>0</v>
      </c>
      <c r="AK32" s="56">
        <f>'ОМ-СД'!AJ21</f>
        <v>0</v>
      </c>
      <c r="AL32" s="56">
        <f>'ОМ-СД'!AK21</f>
        <v>0</v>
      </c>
      <c r="AM32" s="56">
        <f>'ОМ-СД'!AL21</f>
        <v>0</v>
      </c>
      <c r="AN32" s="56">
        <f>'ОМ-СД'!AM21</f>
        <v>0</v>
      </c>
      <c r="AO32" s="56">
        <f>'ОМ-СД'!AN21</f>
        <v>0</v>
      </c>
      <c r="AP32" s="56">
        <f>'ОМ-СД'!AO21</f>
        <v>0</v>
      </c>
      <c r="AQ32" s="56">
        <f>'ОМ-СД'!AP21</f>
        <v>0</v>
      </c>
      <c r="AR32" s="56">
        <f>'ОМ-СД'!AQ21</f>
        <v>0</v>
      </c>
      <c r="AS32" s="56">
        <f>'ОМ-СД'!AR21</f>
        <v>0</v>
      </c>
      <c r="AT32" s="56">
        <f>'ОМ-СД'!AS21</f>
        <v>0</v>
      </c>
    </row>
    <row r="33" spans="1:46" ht="27.6" customHeight="1" thickBot="1" x14ac:dyDescent="0.3">
      <c r="A33" s="77">
        <v>16</v>
      </c>
      <c r="B33" s="69" t="s">
        <v>103</v>
      </c>
      <c r="C33" s="82">
        <f>COUNTA('ППБ-П'!B17:B22)</f>
        <v>6</v>
      </c>
      <c r="D33" s="56">
        <f>'ППБ-П'!C23</f>
        <v>0</v>
      </c>
      <c r="E33" s="56">
        <f>'ППБ-П'!D23</f>
        <v>12</v>
      </c>
      <c r="F33" s="56">
        <f>'ППБ-П'!E23</f>
        <v>0</v>
      </c>
      <c r="G33" s="56">
        <f>'ППБ-П'!F23</f>
        <v>12</v>
      </c>
      <c r="H33" s="56">
        <f>'ППБ-П'!G23</f>
        <v>0</v>
      </c>
      <c r="I33" s="56">
        <f>'ППБ-П'!H23</f>
        <v>0</v>
      </c>
      <c r="J33" s="56">
        <f>'ППБ-П'!I23</f>
        <v>12</v>
      </c>
      <c r="K33" s="56">
        <f>'ППБ-П'!J23</f>
        <v>6</v>
      </c>
      <c r="L33" s="56">
        <f>'ППБ-П'!K23</f>
        <v>12</v>
      </c>
      <c r="M33" s="56">
        <f>'ППБ-П'!L23</f>
        <v>12</v>
      </c>
      <c r="N33" s="56">
        <f>'ППБ-П'!M23</f>
        <v>6</v>
      </c>
      <c r="O33" s="56">
        <f>'ППБ-П'!N23</f>
        <v>0</v>
      </c>
      <c r="P33" s="56">
        <f>'ППБ-П'!O23</f>
        <v>6</v>
      </c>
      <c r="Q33" s="56">
        <f>'ППБ-П'!P23</f>
        <v>12</v>
      </c>
      <c r="R33" s="56">
        <f>'ППБ-П'!Q23</f>
        <v>6</v>
      </c>
      <c r="S33" s="56">
        <f>'ППБ-П'!R23</f>
        <v>0</v>
      </c>
      <c r="T33" s="56">
        <f>'ППБ-П'!S23</f>
        <v>0</v>
      </c>
      <c r="U33" s="56">
        <f>'ППБ-П'!T23</f>
        <v>0</v>
      </c>
      <c r="V33" s="56">
        <f>'ППБ-П'!U23</f>
        <v>6</v>
      </c>
      <c r="W33" s="56">
        <f>'ППБ-П'!V23</f>
        <v>0</v>
      </c>
      <c r="X33" s="56">
        <f>'ППБ-П'!W23</f>
        <v>0</v>
      </c>
      <c r="Y33" s="56">
        <f>'ППБ-П'!X23</f>
        <v>0</v>
      </c>
      <c r="Z33" s="56">
        <f>'ППБ-П'!Y23</f>
        <v>6</v>
      </c>
      <c r="AA33" s="56">
        <f>'ППБ-П'!Z23</f>
        <v>6</v>
      </c>
      <c r="AB33" s="56">
        <f>'ППБ-П'!AA23</f>
        <v>0</v>
      </c>
      <c r="AC33" s="56">
        <f>'ППБ-П'!AB23</f>
        <v>0</v>
      </c>
      <c r="AD33" s="56">
        <f>'ППБ-П'!AC23</f>
        <v>0</v>
      </c>
      <c r="AE33" s="56">
        <f>'ППБ-П'!AD23</f>
        <v>6</v>
      </c>
      <c r="AF33" s="56">
        <f>'ППБ-П'!AE23</f>
        <v>0</v>
      </c>
      <c r="AG33" s="56">
        <f>'ППБ-П'!AF23</f>
        <v>0</v>
      </c>
      <c r="AH33" s="56">
        <f>'ППБ-П'!AG23</f>
        <v>6</v>
      </c>
      <c r="AI33" s="56">
        <f>'ППБ-П'!AH23</f>
        <v>0</v>
      </c>
      <c r="AJ33" s="56">
        <f>'ППБ-П'!AI23</f>
        <v>0</v>
      </c>
      <c r="AK33" s="56">
        <f>'ППБ-П'!AJ23</f>
        <v>0</v>
      </c>
      <c r="AL33" s="56">
        <f>'ППБ-П'!AK23</f>
        <v>0</v>
      </c>
      <c r="AM33" s="56">
        <f>'ППБ-П'!AL23</f>
        <v>6</v>
      </c>
      <c r="AN33" s="56">
        <f>'ППБ-П'!AM23</f>
        <v>0</v>
      </c>
      <c r="AO33" s="56">
        <f>'ППБ-П'!AN23</f>
        <v>6</v>
      </c>
      <c r="AP33" s="56">
        <f>'ППБ-П'!AO23</f>
        <v>6</v>
      </c>
      <c r="AQ33" s="56">
        <f>'ППБ-П'!AP23</f>
        <v>0</v>
      </c>
      <c r="AR33" s="56">
        <f>'ППБ-П'!AQ23</f>
        <v>150</v>
      </c>
      <c r="AS33" s="56">
        <f>'ППБ-П'!AR23</f>
        <v>0</v>
      </c>
      <c r="AT33" s="56">
        <f>'ППБ-П'!AS23</f>
        <v>10</v>
      </c>
    </row>
    <row r="34" spans="1:46" ht="27.6" hidden="1" customHeight="1" thickBot="1" x14ac:dyDescent="0.3">
      <c r="A34" s="57">
        <v>17</v>
      </c>
      <c r="B34" s="71" t="s">
        <v>104</v>
      </c>
      <c r="C34" s="82">
        <v>0</v>
      </c>
      <c r="D34" s="56">
        <f>'ППБ-С'!C17</f>
        <v>0</v>
      </c>
      <c r="E34" s="56">
        <f>'ППБ-С'!D17</f>
        <v>0</v>
      </c>
      <c r="F34" s="56">
        <f>'ППБ-С'!E17</f>
        <v>0</v>
      </c>
      <c r="G34" s="56">
        <f>'ППБ-С'!F17</f>
        <v>0</v>
      </c>
      <c r="H34" s="56">
        <f>'ППБ-С'!G17</f>
        <v>0</v>
      </c>
      <c r="I34" s="56">
        <f>'ППБ-С'!H17</f>
        <v>0</v>
      </c>
      <c r="J34" s="56">
        <f>'ППБ-С'!I17</f>
        <v>0</v>
      </c>
      <c r="K34" s="56">
        <f>'ППБ-С'!J17</f>
        <v>0</v>
      </c>
      <c r="L34" s="56">
        <f>'ППБ-С'!K17</f>
        <v>0</v>
      </c>
      <c r="M34" s="56">
        <f>'ППБ-С'!L17</f>
        <v>0</v>
      </c>
      <c r="N34" s="56">
        <f>'ППБ-С'!M17</f>
        <v>0</v>
      </c>
      <c r="O34" s="56">
        <f>'ППБ-С'!N17</f>
        <v>0</v>
      </c>
      <c r="P34" s="56">
        <f>'ППБ-С'!O17</f>
        <v>0</v>
      </c>
      <c r="Q34" s="56">
        <f>'ППБ-С'!P17</f>
        <v>0</v>
      </c>
      <c r="R34" s="56">
        <f>'ППБ-С'!Q17</f>
        <v>0</v>
      </c>
      <c r="S34" s="56">
        <f>'ППБ-С'!R17</f>
        <v>0</v>
      </c>
      <c r="T34" s="56">
        <f>'ППБ-С'!S17</f>
        <v>0</v>
      </c>
      <c r="U34" s="56">
        <f>'ППБ-С'!T17</f>
        <v>0</v>
      </c>
      <c r="V34" s="56">
        <f>'ППБ-С'!U17</f>
        <v>0</v>
      </c>
      <c r="W34" s="56">
        <f>'ППБ-С'!V17</f>
        <v>0</v>
      </c>
      <c r="X34" s="56">
        <f>'ППБ-С'!W17</f>
        <v>0</v>
      </c>
      <c r="Y34" s="56">
        <f>'ППБ-С'!X17</f>
        <v>0</v>
      </c>
      <c r="Z34" s="56">
        <f>'ППБ-С'!Y17</f>
        <v>0</v>
      </c>
      <c r="AA34" s="56">
        <f>'ППБ-С'!Z17</f>
        <v>0</v>
      </c>
      <c r="AB34" s="56">
        <f>'ППБ-С'!AA17</f>
        <v>0</v>
      </c>
      <c r="AC34" s="56">
        <f>'ППБ-С'!AB17</f>
        <v>0</v>
      </c>
      <c r="AD34" s="56">
        <f>'ППБ-С'!AC17</f>
        <v>0</v>
      </c>
      <c r="AE34" s="56">
        <f>'ППБ-С'!AD17</f>
        <v>0</v>
      </c>
      <c r="AF34" s="56">
        <f>'ППБ-С'!AE17</f>
        <v>0</v>
      </c>
      <c r="AG34" s="56">
        <f>'ППБ-С'!AF17</f>
        <v>0</v>
      </c>
      <c r="AH34" s="56">
        <f>'ППБ-С'!AG17</f>
        <v>0</v>
      </c>
      <c r="AI34" s="56">
        <f>'ППБ-С'!AH17</f>
        <v>0</v>
      </c>
      <c r="AJ34" s="56">
        <f>'ППБ-С'!AI17</f>
        <v>0</v>
      </c>
      <c r="AK34" s="56">
        <f>'ППБ-С'!AJ17</f>
        <v>0</v>
      </c>
      <c r="AL34" s="56">
        <f>'ППБ-С'!AK17</f>
        <v>0</v>
      </c>
      <c r="AM34" s="56">
        <f>'ППБ-С'!AL17</f>
        <v>0</v>
      </c>
      <c r="AN34" s="56">
        <f>'ППБ-С'!AM17</f>
        <v>0</v>
      </c>
      <c r="AO34" s="56">
        <f>'ППБ-С'!AN17</f>
        <v>0</v>
      </c>
      <c r="AP34" s="56">
        <f>'ППБ-С'!AO17</f>
        <v>0</v>
      </c>
      <c r="AQ34" s="56">
        <f>'ППБ-С'!AP17</f>
        <v>0</v>
      </c>
      <c r="AR34" s="56">
        <f>'ППБ-С'!AQ17</f>
        <v>0</v>
      </c>
      <c r="AS34" s="56">
        <f>'ППБ-С'!AR17</f>
        <v>0</v>
      </c>
      <c r="AT34" s="56">
        <f>'ППБ-С'!AS17</f>
        <v>0</v>
      </c>
    </row>
    <row r="35" spans="1:46" x14ac:dyDescent="0.25">
      <c r="A35" s="58"/>
      <c r="B35" s="59" t="s">
        <v>1</v>
      </c>
      <c r="C35" s="84">
        <f t="shared" ref="C35" si="0">SUM(C18:C34)</f>
        <v>439</v>
      </c>
      <c r="D35" s="60">
        <f>SUM(D18:D33)</f>
        <v>848</v>
      </c>
      <c r="E35" s="60">
        <f t="shared" ref="E35:AT35" si="1">SUM(E18:E33)</f>
        <v>436</v>
      </c>
      <c r="F35" s="60">
        <f t="shared" si="1"/>
        <v>327</v>
      </c>
      <c r="G35" s="60">
        <f t="shared" si="1"/>
        <v>12</v>
      </c>
      <c r="H35" s="60">
        <f t="shared" si="1"/>
        <v>2110</v>
      </c>
      <c r="I35" s="60">
        <f t="shared" si="1"/>
        <v>376</v>
      </c>
      <c r="J35" s="60">
        <f t="shared" si="1"/>
        <v>388</v>
      </c>
      <c r="K35" s="60">
        <f t="shared" si="1"/>
        <v>6</v>
      </c>
      <c r="L35" s="60">
        <f t="shared" si="1"/>
        <v>388</v>
      </c>
      <c r="M35" s="60">
        <f t="shared" si="1"/>
        <v>388</v>
      </c>
      <c r="N35" s="60">
        <f t="shared" si="1"/>
        <v>370</v>
      </c>
      <c r="O35" s="60">
        <f t="shared" si="1"/>
        <v>0</v>
      </c>
      <c r="P35" s="60">
        <f t="shared" si="1"/>
        <v>263</v>
      </c>
      <c r="Q35" s="60">
        <f t="shared" si="1"/>
        <v>376</v>
      </c>
      <c r="R35" s="60">
        <f t="shared" si="1"/>
        <v>6</v>
      </c>
      <c r="S35" s="60">
        <f t="shared" si="1"/>
        <v>0</v>
      </c>
      <c r="T35" s="60">
        <f t="shared" si="1"/>
        <v>412</v>
      </c>
      <c r="U35" s="60">
        <f t="shared" si="1"/>
        <v>0</v>
      </c>
      <c r="V35" s="60">
        <f t="shared" si="1"/>
        <v>215</v>
      </c>
      <c r="W35" s="60">
        <f t="shared" si="1"/>
        <v>209</v>
      </c>
      <c r="X35" s="60">
        <f t="shared" si="1"/>
        <v>0</v>
      </c>
      <c r="Y35" s="60">
        <f t="shared" si="1"/>
        <v>0</v>
      </c>
      <c r="Z35" s="60">
        <f t="shared" si="1"/>
        <v>332</v>
      </c>
      <c r="AA35" s="60">
        <f t="shared" si="1"/>
        <v>18</v>
      </c>
      <c r="AB35" s="60">
        <f t="shared" si="1"/>
        <v>12</v>
      </c>
      <c r="AC35" s="60">
        <f t="shared" si="1"/>
        <v>12</v>
      </c>
      <c r="AD35" s="60">
        <f t="shared" si="1"/>
        <v>424</v>
      </c>
      <c r="AE35" s="60">
        <f t="shared" si="1"/>
        <v>18</v>
      </c>
      <c r="AF35" s="60">
        <f t="shared" si="1"/>
        <v>12</v>
      </c>
      <c r="AG35" s="60">
        <f t="shared" si="1"/>
        <v>48</v>
      </c>
      <c r="AH35" s="60">
        <f t="shared" si="1"/>
        <v>6</v>
      </c>
      <c r="AI35" s="60">
        <f t="shared" si="1"/>
        <v>48</v>
      </c>
      <c r="AJ35" s="60">
        <f t="shared" si="1"/>
        <v>48</v>
      </c>
      <c r="AK35" s="60">
        <f t="shared" si="1"/>
        <v>48</v>
      </c>
      <c r="AL35" s="60">
        <f t="shared" si="1"/>
        <v>48</v>
      </c>
      <c r="AM35" s="60">
        <f t="shared" si="1"/>
        <v>54</v>
      </c>
      <c r="AN35" s="60">
        <f t="shared" si="1"/>
        <v>48</v>
      </c>
      <c r="AO35" s="60">
        <f t="shared" si="1"/>
        <v>372</v>
      </c>
      <c r="AP35" s="60">
        <f t="shared" si="1"/>
        <v>6</v>
      </c>
      <c r="AQ35" s="60">
        <f t="shared" si="1"/>
        <v>0</v>
      </c>
      <c r="AR35" s="60">
        <f t="shared" si="1"/>
        <v>4900</v>
      </c>
      <c r="AS35" s="60">
        <f t="shared" si="1"/>
        <v>0</v>
      </c>
      <c r="AT35" s="60">
        <f t="shared" si="1"/>
        <v>106</v>
      </c>
    </row>
  </sheetData>
  <mergeCells count="9">
    <mergeCell ref="A10:AT10"/>
    <mergeCell ref="A11:AT11"/>
    <mergeCell ref="D15:AT15"/>
    <mergeCell ref="C15:C16"/>
    <mergeCell ref="B15:B17"/>
    <mergeCell ref="A15:A17"/>
    <mergeCell ref="A12:AT12"/>
    <mergeCell ref="S13:T13"/>
    <mergeCell ref="U13:V13"/>
  </mergeCells>
  <conditionalFormatting sqref="C18:AT35">
    <cfRule type="cellIs" dxfId="133" priority="1" operator="equal">
      <formula>0</formula>
    </cfRule>
  </conditionalFormatting>
  <printOptions horizontalCentered="1"/>
  <pageMargins left="0.78740157480314965" right="0.39370078740157483" top="0.39370078740157483" bottom="0.39370078740157483" header="0" footer="0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  <pageSetUpPr fitToPage="1"/>
  </sheetPr>
  <dimension ref="A4:AS57"/>
  <sheetViews>
    <sheetView topLeftCell="N1" zoomScaleNormal="100" zoomScaleSheetLayoutView="115" workbookViewId="0">
      <selection activeCell="B13" sqref="B13:B51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4" spans="1:45" ht="60" customHeight="1" x14ac:dyDescent="0.25"/>
    <row r="5" spans="1:45" ht="19.5" customHeight="1" x14ac:dyDescent="0.25"/>
    <row r="6" spans="1:45" ht="18.75" x14ac:dyDescent="0.25">
      <c r="A6" s="112" t="s">
        <v>59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</row>
    <row r="7" spans="1:45" ht="18.75" x14ac:dyDescent="0.25">
      <c r="A7" s="112" t="s">
        <v>290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</row>
    <row r="8" spans="1:45" ht="18.75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 t="s">
        <v>288</v>
      </c>
      <c r="S8" s="112" t="str">
        <f>'Справочник-не смотрим!'!B1</f>
        <v>февраль</v>
      </c>
      <c r="T8" s="112"/>
      <c r="U8" s="112">
        <f>'Справочник-не смотрим!'!B2</f>
        <v>2026</v>
      </c>
      <c r="V8" s="112"/>
      <c r="W8" s="61" t="s">
        <v>289</v>
      </c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</row>
    <row r="10" spans="1:45" ht="31.15" customHeight="1" x14ac:dyDescent="0.25">
      <c r="A10" s="120" t="s">
        <v>0</v>
      </c>
      <c r="B10" s="122" t="s">
        <v>21</v>
      </c>
      <c r="C10" s="113" t="s">
        <v>58</v>
      </c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</row>
    <row r="11" spans="1:45" ht="294.75" customHeight="1" x14ac:dyDescent="0.25">
      <c r="A11" s="121"/>
      <c r="B11" s="122"/>
      <c r="C11" s="39" t="str">
        <f>'Сводная ведомость'!D16</f>
        <v>Вода питьевая негазир. (5 л.)</v>
      </c>
      <c r="D11" s="28" t="str">
        <f>'Сводная ведомость'!E16</f>
        <v>Туалетная бумага "Набережные Челны" (рул.)</v>
      </c>
      <c r="E11" s="28" t="str">
        <f>'Сводная ведомость'!F16</f>
        <v>Чай черный ГОСТ (100 гр.)</v>
      </c>
      <c r="F11" s="28" t="str">
        <f>'Сводная ведомость'!G16</f>
        <v>Чай черный пакетированный (25 пак.)</v>
      </c>
      <c r="G11" s="28" t="str">
        <f>'Сводная ведомость'!H16</f>
        <v xml:space="preserve">Станки для бритья "Джилет Blue II Maximum" однораз. </v>
      </c>
      <c r="H11" s="28" t="str">
        <f>'Сводная ведомость'!I16</f>
        <v>Говядина тушеная ж/б (325 гр. ключ)</v>
      </c>
      <c r="I11" s="28" t="str">
        <f>'Сводная ведомость'!J16</f>
        <v>Колбаса вареная "Докторская" ГОСТ (400 гр.)</v>
      </c>
      <c r="J11" s="28" t="str">
        <f>'Сводная ведомость'!K16</f>
        <v>Зефир Беково (белый, розовый, 250 гр.)</v>
      </c>
      <c r="K11" s="28" t="str">
        <f>'Сводная ведомость'!L16</f>
        <v>Ветчина в ассртименте ж/б (325 гр. ключ)</v>
      </c>
      <c r="L11" s="28" t="str">
        <f>'Сводная ведомость'!M16</f>
        <v>Сыр в ассортименте (200 гр.)</v>
      </c>
      <c r="M11" s="28" t="str">
        <f>'Сводная ведомость'!N16</f>
        <v xml:space="preserve">Вафли в ассортименте (200 гр.) </v>
      </c>
      <c r="N11" s="28" t="str">
        <f>'Сводная ведомость'!O16</f>
        <v>Кофе растворимый черный в мягкой упаковке Monarch (150 г)</v>
      </c>
      <c r="O11" s="28" t="str">
        <f>'Сводная ведомость'!P16</f>
        <v>Джем Махеевъ дой-пак 300 г в ассортименте</v>
      </c>
      <c r="P11" s="28" t="str">
        <f>'Сводная ведомость'!Q16</f>
        <v>Колбаса в/к ГОСТ (400 гр.)</v>
      </c>
      <c r="Q11" s="28" t="str">
        <f>'Сводная ведомость'!R16</f>
        <v>Шпроты в масле ж/б (160 гр., ключ)</v>
      </c>
      <c r="R11" s="28" t="str">
        <f>'Сводная ведомость'!S16</f>
        <v>Прияники с начинкой "Яшкино" 250 гр.</v>
      </c>
      <c r="S11" s="29" t="str">
        <f>'Сводная ведомость'!T16</f>
        <v>Мини - рулеты (175 гр.)</v>
      </c>
      <c r="T11" s="28" t="str">
        <f>'Сводная ведомость'!U16</f>
        <v>Мыло хозяйственное 72%  (200 гр.)</v>
      </c>
      <c r="U11" s="28" t="str">
        <f>'Сводная ведомость'!V16</f>
        <v>Конфеты шоколадные фасованные в ассортименте (250 гр.)</v>
      </c>
      <c r="V11" s="28" t="str">
        <f>'Сводная ведомость'!W16</f>
        <v>Печенье сахарное фасованное (200гр.)</v>
      </c>
      <c r="W11" s="28" t="str">
        <f>'Сводная ведомость'!X16</f>
        <v>Консервы рыбные в ассортименте ж/б (230 гр., ключ)</v>
      </c>
      <c r="X11" s="29" t="str">
        <f>'Сводная ведомость'!Y16</f>
        <v>Освежитель воздуха (200 мл.)</v>
      </c>
      <c r="Y11" s="28" t="str">
        <f>'Сводная ведомость'!Z16</f>
        <v>Жидкое мыло (200 мл.)</v>
      </c>
      <c r="Z11" s="28" t="str">
        <f>'Сводная ведомость'!AA16</f>
        <v>Лукум Беково (250 гр.)</v>
      </c>
      <c r="AA11" s="28" t="str">
        <f>'Сводная ведомость'!AB16</f>
        <v>Мармелад диабетический на фруктозе (200гр.)</v>
      </c>
      <c r="AB11" s="28" t="str">
        <f>'Сводная ведомость'!AC16</f>
        <v>Конфеты диабетические (200 гр.)</v>
      </c>
      <c r="AC11" s="28" t="str">
        <f>'Сводная ведомость'!AD16</f>
        <v>Паштет "Знаток" ж/б (250 гр., ключ)</v>
      </c>
      <c r="AD11" s="28" t="str">
        <f>'Сводная ведомость'!AE16</f>
        <v>Печенье диабетическое "Мария" (250гр.)</v>
      </c>
      <c r="AE11" s="28" t="str">
        <f>'Сводная ведомость'!AF16</f>
        <v>Крекер соленый (180 гр.)</v>
      </c>
      <c r="AF11" s="28" t="str">
        <f>'Сводная ведомость'!AG16</f>
        <v>Печенье детское Бонди Бегемотик (180 гр.)</v>
      </c>
      <c r="AG11" s="28" t="str">
        <f>'Сводная ведомость'!AH16</f>
        <v>Килька Балтийская в томтном соусе 240 г ключ</v>
      </c>
      <c r="AH11" s="28" t="str">
        <f>'Сводная ведомость'!AI16</f>
        <v>Паштет HAME из гусиной печени (105 гр.)</v>
      </c>
      <c r="AI11" s="28" t="str">
        <f>'Сводная ведомость'!AJ16</f>
        <v>Паштет HAME с мясом птицы (105 гр.)</v>
      </c>
      <c r="AJ11" s="28" t="str">
        <f>'Сводная ведомость'!AK16</f>
        <v>Паштет HAME с мясом индейки (105 гр.)</v>
      </c>
      <c r="AK11" s="28" t="str">
        <f>'Сводная ведомость'!AL16</f>
        <v>Мини - кексы (250 гр.)</v>
      </c>
      <c r="AL11" s="28" t="str">
        <f>'Сводная ведомость'!AM16</f>
        <v>Сыр плавленный "Вкуснотеево" (ванночка, 200 гр.)</v>
      </c>
      <c r="AM11" s="28" t="str">
        <f>'Сводная ведомость'!AN16</f>
        <v>Зефир в шоколаде Беково (250 гр.)</v>
      </c>
      <c r="AN11" s="28" t="str">
        <f>'Сводная ведомость'!AO16</f>
        <v>Сахар рафинад (500 гр.)</v>
      </c>
      <c r="AO11" s="28" t="str">
        <f>'Сводная ведомость'!AP16</f>
        <v>Сок в ассортименте (1 л.)</v>
      </c>
      <c r="AP11" s="28" t="str">
        <f>'Сводная ведомость'!AQ16</f>
        <v>Пена для бритья "АРКО" (200мл)</v>
      </c>
      <c r="AQ11" s="28" t="str">
        <f>'Сводная ведомость'!AR16</f>
        <v>Сигареты с фильтром в пачке (20 сигарет)</v>
      </c>
      <c r="AR11" s="28" t="str">
        <f>'Сводная ведомость'!AS16</f>
        <v>Туалетная вода, 200 мл</v>
      </c>
      <c r="AS11" s="28" t="str">
        <f>'Сводная ведомость'!AT16</f>
        <v>Зажигалка</v>
      </c>
    </row>
    <row r="12" spans="1:45" ht="15.75" x14ac:dyDescent="0.25">
      <c r="A12" s="47"/>
      <c r="B12" s="5"/>
      <c r="C12" s="40" t="str">
        <f>'[1]ЗАЯВКА-не смотрим!'!C4</f>
        <v>бут.</v>
      </c>
      <c r="D12" s="4" t="str">
        <f>'[1]ЗАЯВКА-не смотрим!'!C5</f>
        <v>шт.</v>
      </c>
      <c r="E12" s="4" t="str">
        <f>'[1]ЗАЯВКА-не смотрим!'!C6</f>
        <v>упак.</v>
      </c>
      <c r="F12" s="4" t="str">
        <f>'[1]ЗАЯВКА-не смотрим!'!C7</f>
        <v>упак.</v>
      </c>
      <c r="G12" s="4" t="str">
        <f>'[1]ЗАЯВКА-не смотрим!'!C8</f>
        <v>шт.</v>
      </c>
      <c r="H12" s="4" t="str">
        <f>'[1]ЗАЯВКА-не смотрим!'!C9</f>
        <v>шт.</v>
      </c>
      <c r="I12" s="4" t="str">
        <f>'[1]ЗАЯВКА-не смотрим!'!C10</f>
        <v>шт.</v>
      </c>
      <c r="J12" s="4" t="str">
        <f>'[1]ЗАЯВКА-не смотрим!'!C11</f>
        <v>упак.</v>
      </c>
      <c r="K12" s="4" t="str">
        <f>'[1]ЗАЯВКА-не смотрим!'!C12</f>
        <v>шт.</v>
      </c>
      <c r="L12" s="4" t="str">
        <f>'[1]ЗАЯВКА-не смотрим!'!C13</f>
        <v>шт.</v>
      </c>
      <c r="M12" s="4" t="str">
        <f>'[1]ЗАЯВКА-не смотрим!'!C14</f>
        <v>упак.</v>
      </c>
      <c r="N12" s="4" t="str">
        <f>'[1]ЗАЯВКА-не смотрим!'!C15</f>
        <v>шт.</v>
      </c>
      <c r="O12" s="4" t="str">
        <f>'[1]ЗАЯВКА-не смотрим!'!C16</f>
        <v>шт.</v>
      </c>
      <c r="P12" s="4" t="str">
        <f>'[1]ЗАЯВКА-не смотрим!'!C17</f>
        <v>шт.</v>
      </c>
      <c r="Q12" s="4" t="str">
        <f>'[1]ЗАЯВКА-не смотрим!'!C18</f>
        <v>шт.</v>
      </c>
      <c r="R12" s="4" t="str">
        <f>'[1]ЗАЯВКА-не смотрим!'!C19</f>
        <v>упак.</v>
      </c>
      <c r="S12" s="4" t="str">
        <f>'[1]ЗАЯВКА-не смотрим!'!C20</f>
        <v>упак.</v>
      </c>
      <c r="T12" s="4" t="str">
        <f>'[1]ЗАЯВКА-не смотрим!'!C21</f>
        <v>шт.</v>
      </c>
      <c r="U12" s="4" t="str">
        <f>'[1]ЗАЯВКА-не смотрим!'!C22</f>
        <v>упак.</v>
      </c>
      <c r="V12" s="4" t="str">
        <f>'[1]ЗАЯВКА-не смотрим!'!C23</f>
        <v>упак.</v>
      </c>
      <c r="W12" s="4" t="str">
        <f>'[1]ЗАЯВКА-не смотрим!'!C24</f>
        <v>шт.</v>
      </c>
      <c r="X12" s="4" t="str">
        <f>'[1]ЗАЯВКА-не смотрим!'!C25</f>
        <v>шт.</v>
      </c>
      <c r="Y12" s="4" t="str">
        <f>'[1]ЗАЯВКА-не смотрим!'!C26</f>
        <v>шт.</v>
      </c>
      <c r="Z12" s="4" t="str">
        <f>'[1]ЗАЯВКА-не смотрим!'!C27</f>
        <v>упак.</v>
      </c>
      <c r="AA12" s="4" t="str">
        <f>'[1]ЗАЯВКА-не смотрим!'!C28</f>
        <v>упак.</v>
      </c>
      <c r="AB12" s="4" t="str">
        <f>'[1]ЗАЯВКА-не смотрим!'!C29</f>
        <v>упак.</v>
      </c>
      <c r="AC12" s="4" t="str">
        <f>'[1]ЗАЯВКА-не смотрим!'!C30</f>
        <v>шт.</v>
      </c>
      <c r="AD12" s="4" t="str">
        <f>'[1]ЗАЯВКА-не смотрим!'!C31</f>
        <v>упак.</v>
      </c>
      <c r="AE12" s="4" t="str">
        <f>'[1]ЗАЯВКА-не смотрим!'!C32</f>
        <v>упак.</v>
      </c>
      <c r="AF12" s="4" t="str">
        <f>'[1]ЗАЯВКА-не смотрим!'!C33</f>
        <v>упак.</v>
      </c>
      <c r="AG12" s="4" t="str">
        <f>'[1]ЗАЯВКА-не смотрим!'!C34</f>
        <v>шт.</v>
      </c>
      <c r="AH12" s="4" t="str">
        <f>'[1]ЗАЯВКА-не смотрим!'!C35</f>
        <v>шт.</v>
      </c>
      <c r="AI12" s="4" t="str">
        <f>'[1]ЗАЯВКА-не смотрим!'!C36</f>
        <v>шт.</v>
      </c>
      <c r="AJ12" s="4" t="str">
        <f>'[1]ЗАЯВКА-не смотрим!'!C37</f>
        <v>шт.</v>
      </c>
      <c r="AK12" s="4" t="str">
        <f>'[1]ЗАЯВКА-не смотрим!'!C38</f>
        <v>упак.</v>
      </c>
      <c r="AL12" s="4" t="str">
        <f>'[1]ЗАЯВКА-не смотрим!'!C39</f>
        <v>шт.</v>
      </c>
      <c r="AM12" s="4" t="str">
        <f>'[1]ЗАЯВКА-не смотрим!'!C40</f>
        <v>упак.</v>
      </c>
      <c r="AN12" s="4" t="str">
        <f>'[1]ЗАЯВКА-не смотрим!'!C41</f>
        <v>упак.</v>
      </c>
      <c r="AO12" s="4" t="str">
        <f>'[1]ЗАЯВКА-не смотрим!'!C42</f>
        <v>шт.</v>
      </c>
      <c r="AP12" s="4" t="str">
        <f>'[1]ЗАЯВКА-не смотрим!'!C43</f>
        <v>шт.</v>
      </c>
      <c r="AQ12" s="4" t="str">
        <f>'[1]ЗАЯВКА-не смотрим!'!C44</f>
        <v>пач.</v>
      </c>
      <c r="AR12" s="4" t="str">
        <f>'[1]ЗАЯВКА-не смотрим!'!C45</f>
        <v>шт.</v>
      </c>
      <c r="AS12" s="4" t="str">
        <f>'[1]ЗАЯВКА-не смотрим!'!C46</f>
        <v>шт.</v>
      </c>
    </row>
    <row r="13" spans="1:45" ht="15.75" x14ac:dyDescent="0.25">
      <c r="A13" s="93">
        <v>1</v>
      </c>
      <c r="B13" s="72" t="s">
        <v>60</v>
      </c>
      <c r="C13" s="94">
        <v>2</v>
      </c>
      <c r="D13" s="95">
        <v>1</v>
      </c>
      <c r="E13" s="95">
        <v>1</v>
      </c>
      <c r="F13" s="95"/>
      <c r="G13" s="95">
        <v>5</v>
      </c>
      <c r="H13" s="95">
        <v>1</v>
      </c>
      <c r="I13" s="95">
        <v>1</v>
      </c>
      <c r="J13" s="95"/>
      <c r="K13" s="95">
        <v>1</v>
      </c>
      <c r="L13" s="95">
        <v>1</v>
      </c>
      <c r="M13" s="95">
        <v>1</v>
      </c>
      <c r="N13" s="95"/>
      <c r="O13" s="95">
        <v>1</v>
      </c>
      <c r="P13" s="95">
        <v>1</v>
      </c>
      <c r="Q13" s="95"/>
      <c r="R13" s="95"/>
      <c r="S13" s="95">
        <v>1</v>
      </c>
      <c r="T13" s="95"/>
      <c r="U13" s="95">
        <v>1</v>
      </c>
      <c r="V13" s="74">
        <v>1</v>
      </c>
      <c r="W13" s="74"/>
      <c r="X13" s="74"/>
      <c r="Y13" s="74">
        <v>1</v>
      </c>
      <c r="Z13" s="74"/>
      <c r="AA13" s="74"/>
      <c r="AB13" s="74"/>
      <c r="AC13" s="74">
        <v>1</v>
      </c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>
        <v>1</v>
      </c>
      <c r="AO13" s="74"/>
      <c r="AP13" s="74"/>
      <c r="AQ13" s="74"/>
      <c r="AR13" s="74"/>
      <c r="AS13" s="74"/>
    </row>
    <row r="14" spans="1:45" ht="15.75" x14ac:dyDescent="0.25">
      <c r="A14" s="93">
        <v>2</v>
      </c>
      <c r="B14" s="72" t="s">
        <v>61</v>
      </c>
      <c r="C14" s="94">
        <v>2</v>
      </c>
      <c r="D14" s="95">
        <v>1</v>
      </c>
      <c r="E14" s="95">
        <v>1</v>
      </c>
      <c r="F14" s="95"/>
      <c r="G14" s="95">
        <v>5</v>
      </c>
      <c r="H14" s="95">
        <v>1</v>
      </c>
      <c r="I14" s="95">
        <v>1</v>
      </c>
      <c r="J14" s="95"/>
      <c r="K14" s="95">
        <v>1</v>
      </c>
      <c r="L14" s="95">
        <v>1</v>
      </c>
      <c r="M14" s="95">
        <v>1</v>
      </c>
      <c r="N14" s="95"/>
      <c r="O14" s="95">
        <v>1</v>
      </c>
      <c r="P14" s="95">
        <v>1</v>
      </c>
      <c r="Q14" s="95"/>
      <c r="R14" s="95"/>
      <c r="S14" s="95">
        <v>1</v>
      </c>
      <c r="T14" s="95"/>
      <c r="U14" s="95">
        <v>1</v>
      </c>
      <c r="V14" s="74">
        <v>1</v>
      </c>
      <c r="W14" s="74"/>
      <c r="X14" s="74"/>
      <c r="Y14" s="74">
        <v>1</v>
      </c>
      <c r="Z14" s="74"/>
      <c r="AA14" s="74"/>
      <c r="AB14" s="74"/>
      <c r="AC14" s="74">
        <v>1</v>
      </c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>
        <v>1</v>
      </c>
      <c r="AO14" s="74"/>
      <c r="AP14" s="74"/>
      <c r="AQ14" s="74">
        <v>20</v>
      </c>
      <c r="AR14" s="74"/>
      <c r="AS14" s="74"/>
    </row>
    <row r="15" spans="1:45" ht="15.75" x14ac:dyDescent="0.25">
      <c r="A15" s="93">
        <v>3</v>
      </c>
      <c r="B15" s="72" t="s">
        <v>62</v>
      </c>
      <c r="C15" s="94">
        <v>2</v>
      </c>
      <c r="D15" s="95">
        <v>1</v>
      </c>
      <c r="E15" s="95">
        <v>1</v>
      </c>
      <c r="F15" s="95"/>
      <c r="G15" s="95">
        <v>5</v>
      </c>
      <c r="H15" s="95">
        <v>1</v>
      </c>
      <c r="I15" s="95">
        <v>1</v>
      </c>
      <c r="J15" s="95"/>
      <c r="K15" s="95">
        <v>1</v>
      </c>
      <c r="L15" s="95">
        <v>1</v>
      </c>
      <c r="M15" s="95">
        <v>1</v>
      </c>
      <c r="N15" s="95"/>
      <c r="O15" s="95">
        <v>1</v>
      </c>
      <c r="P15" s="95">
        <v>1</v>
      </c>
      <c r="Q15" s="95"/>
      <c r="R15" s="95"/>
      <c r="S15" s="95">
        <v>1</v>
      </c>
      <c r="T15" s="95"/>
      <c r="U15" s="95">
        <v>1</v>
      </c>
      <c r="V15" s="74">
        <v>1</v>
      </c>
      <c r="W15" s="74"/>
      <c r="X15" s="74"/>
      <c r="Y15" s="74">
        <v>1</v>
      </c>
      <c r="Z15" s="74"/>
      <c r="AA15" s="74"/>
      <c r="AB15" s="74"/>
      <c r="AC15" s="74">
        <v>1</v>
      </c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>
        <v>1</v>
      </c>
      <c r="AO15" s="74"/>
      <c r="AP15" s="74"/>
      <c r="AQ15" s="74"/>
      <c r="AR15" s="74"/>
      <c r="AS15" s="74"/>
    </row>
    <row r="16" spans="1:45" ht="15.75" x14ac:dyDescent="0.25">
      <c r="A16" s="93">
        <v>4</v>
      </c>
      <c r="B16" s="72" t="s">
        <v>302</v>
      </c>
      <c r="C16" s="94">
        <v>2</v>
      </c>
      <c r="D16" s="95">
        <v>1</v>
      </c>
      <c r="E16" s="95">
        <v>1</v>
      </c>
      <c r="F16" s="95"/>
      <c r="G16" s="95">
        <v>5</v>
      </c>
      <c r="H16" s="95">
        <v>1</v>
      </c>
      <c r="I16" s="95">
        <v>1</v>
      </c>
      <c r="J16" s="95"/>
      <c r="K16" s="95">
        <v>1</v>
      </c>
      <c r="L16" s="95">
        <v>1</v>
      </c>
      <c r="M16" s="95">
        <v>1</v>
      </c>
      <c r="N16" s="95"/>
      <c r="O16" s="95">
        <v>1</v>
      </c>
      <c r="P16" s="95">
        <v>1</v>
      </c>
      <c r="Q16" s="95"/>
      <c r="R16" s="95"/>
      <c r="S16" s="95">
        <v>1</v>
      </c>
      <c r="T16" s="95"/>
      <c r="U16" s="95">
        <v>1</v>
      </c>
      <c r="V16" s="74">
        <v>1</v>
      </c>
      <c r="W16" s="74"/>
      <c r="X16" s="74"/>
      <c r="Y16" s="74">
        <v>1</v>
      </c>
      <c r="Z16" s="74"/>
      <c r="AA16" s="74"/>
      <c r="AB16" s="74"/>
      <c r="AC16" s="74">
        <v>1</v>
      </c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>
        <v>1</v>
      </c>
      <c r="AO16" s="74"/>
      <c r="AP16" s="74"/>
      <c r="AQ16" s="74">
        <v>20</v>
      </c>
      <c r="AR16" s="74"/>
      <c r="AS16" s="74"/>
    </row>
    <row r="17" spans="1:45" ht="15.75" x14ac:dyDescent="0.25">
      <c r="A17" s="93">
        <v>5</v>
      </c>
      <c r="B17" s="96" t="s">
        <v>330</v>
      </c>
      <c r="C17" s="94">
        <v>2</v>
      </c>
      <c r="D17" s="95">
        <v>1</v>
      </c>
      <c r="E17" s="95">
        <v>1</v>
      </c>
      <c r="F17" s="95"/>
      <c r="G17" s="95">
        <v>5</v>
      </c>
      <c r="H17" s="95">
        <v>1</v>
      </c>
      <c r="I17" s="95">
        <v>1</v>
      </c>
      <c r="J17" s="95"/>
      <c r="K17" s="95">
        <v>1</v>
      </c>
      <c r="L17" s="95">
        <v>1</v>
      </c>
      <c r="M17" s="95">
        <v>1</v>
      </c>
      <c r="N17" s="95"/>
      <c r="O17" s="95">
        <v>1</v>
      </c>
      <c r="P17" s="95">
        <v>1</v>
      </c>
      <c r="Q17" s="95"/>
      <c r="R17" s="95"/>
      <c r="S17" s="95">
        <v>1</v>
      </c>
      <c r="T17" s="95"/>
      <c r="U17" s="95">
        <v>1</v>
      </c>
      <c r="V17" s="74">
        <v>1</v>
      </c>
      <c r="W17" s="74"/>
      <c r="X17" s="74"/>
      <c r="Y17" s="74">
        <v>1</v>
      </c>
      <c r="Z17" s="74"/>
      <c r="AA17" s="74"/>
      <c r="AB17" s="74"/>
      <c r="AC17" s="74">
        <v>1</v>
      </c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>
        <v>1</v>
      </c>
      <c r="AO17" s="74"/>
      <c r="AP17" s="74"/>
      <c r="AQ17" s="74"/>
      <c r="AR17" s="74"/>
      <c r="AS17" s="74"/>
    </row>
    <row r="18" spans="1:45" ht="15.75" x14ac:dyDescent="0.25">
      <c r="A18" s="93">
        <v>6</v>
      </c>
      <c r="B18" s="72" t="s">
        <v>63</v>
      </c>
      <c r="C18" s="94">
        <v>2</v>
      </c>
      <c r="D18" s="95">
        <v>1</v>
      </c>
      <c r="E18" s="95">
        <v>1</v>
      </c>
      <c r="F18" s="95"/>
      <c r="G18" s="95">
        <v>5</v>
      </c>
      <c r="H18" s="95">
        <v>1</v>
      </c>
      <c r="I18" s="95">
        <v>1</v>
      </c>
      <c r="J18" s="95"/>
      <c r="K18" s="95">
        <v>1</v>
      </c>
      <c r="L18" s="95">
        <v>1</v>
      </c>
      <c r="M18" s="95">
        <v>1</v>
      </c>
      <c r="N18" s="95"/>
      <c r="O18" s="95">
        <v>1</v>
      </c>
      <c r="P18" s="95">
        <v>1</v>
      </c>
      <c r="Q18" s="95"/>
      <c r="R18" s="95"/>
      <c r="S18" s="95">
        <v>1</v>
      </c>
      <c r="T18" s="95"/>
      <c r="U18" s="95">
        <v>1</v>
      </c>
      <c r="V18" s="74">
        <v>1</v>
      </c>
      <c r="W18" s="74"/>
      <c r="X18" s="74"/>
      <c r="Y18" s="74">
        <v>1</v>
      </c>
      <c r="Z18" s="74"/>
      <c r="AA18" s="74"/>
      <c r="AB18" s="74"/>
      <c r="AC18" s="74">
        <v>1</v>
      </c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>
        <v>1</v>
      </c>
      <c r="AO18" s="74"/>
      <c r="AP18" s="74"/>
      <c r="AQ18" s="74">
        <v>20</v>
      </c>
      <c r="AR18" s="74"/>
      <c r="AS18" s="74"/>
    </row>
    <row r="19" spans="1:45" ht="15.75" x14ac:dyDescent="0.25">
      <c r="A19" s="93">
        <v>7</v>
      </c>
      <c r="B19" s="72" t="s">
        <v>329</v>
      </c>
      <c r="C19" s="94">
        <v>2</v>
      </c>
      <c r="D19" s="95">
        <v>1</v>
      </c>
      <c r="E19" s="95">
        <v>1</v>
      </c>
      <c r="F19" s="95"/>
      <c r="G19" s="95">
        <v>5</v>
      </c>
      <c r="H19" s="95">
        <v>1</v>
      </c>
      <c r="I19" s="95">
        <v>1</v>
      </c>
      <c r="J19" s="95"/>
      <c r="K19" s="95">
        <v>1</v>
      </c>
      <c r="L19" s="95">
        <v>1</v>
      </c>
      <c r="M19" s="95">
        <v>1</v>
      </c>
      <c r="N19" s="95"/>
      <c r="O19" s="95">
        <v>1</v>
      </c>
      <c r="P19" s="95">
        <v>1</v>
      </c>
      <c r="Q19" s="95"/>
      <c r="R19" s="95"/>
      <c r="S19" s="95">
        <v>1</v>
      </c>
      <c r="T19" s="95"/>
      <c r="U19" s="95">
        <v>1</v>
      </c>
      <c r="V19" s="74">
        <v>1</v>
      </c>
      <c r="W19" s="74"/>
      <c r="X19" s="74"/>
      <c r="Y19" s="74">
        <v>1</v>
      </c>
      <c r="Z19" s="74"/>
      <c r="AA19" s="74"/>
      <c r="AB19" s="74"/>
      <c r="AC19" s="74">
        <v>1</v>
      </c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>
        <v>1</v>
      </c>
      <c r="AO19" s="74"/>
      <c r="AP19" s="74"/>
      <c r="AQ19" s="74">
        <v>20</v>
      </c>
      <c r="AR19" s="74"/>
      <c r="AS19" s="74"/>
    </row>
    <row r="20" spans="1:45" ht="15.75" x14ac:dyDescent="0.25">
      <c r="A20" s="93">
        <v>8</v>
      </c>
      <c r="B20" s="72" t="s">
        <v>65</v>
      </c>
      <c r="C20" s="94">
        <v>2</v>
      </c>
      <c r="D20" s="95">
        <v>1</v>
      </c>
      <c r="E20" s="95">
        <v>1</v>
      </c>
      <c r="F20" s="95"/>
      <c r="G20" s="95">
        <v>5</v>
      </c>
      <c r="H20" s="95">
        <v>1</v>
      </c>
      <c r="I20" s="95">
        <v>1</v>
      </c>
      <c r="J20" s="95"/>
      <c r="K20" s="95">
        <v>1</v>
      </c>
      <c r="L20" s="95">
        <v>1</v>
      </c>
      <c r="M20" s="95">
        <v>1</v>
      </c>
      <c r="N20" s="95"/>
      <c r="O20" s="95">
        <v>1</v>
      </c>
      <c r="P20" s="95">
        <v>1</v>
      </c>
      <c r="Q20" s="95"/>
      <c r="R20" s="95"/>
      <c r="S20" s="95">
        <v>1</v>
      </c>
      <c r="T20" s="95"/>
      <c r="U20" s="95">
        <v>1</v>
      </c>
      <c r="V20" s="74">
        <v>1</v>
      </c>
      <c r="W20" s="74"/>
      <c r="X20" s="74"/>
      <c r="Y20" s="74">
        <v>1</v>
      </c>
      <c r="Z20" s="74"/>
      <c r="AA20" s="74"/>
      <c r="AB20" s="74"/>
      <c r="AC20" s="74">
        <v>1</v>
      </c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>
        <v>1</v>
      </c>
      <c r="AO20" s="74"/>
      <c r="AP20" s="74"/>
      <c r="AQ20" s="74"/>
      <c r="AR20" s="74"/>
      <c r="AS20" s="74"/>
    </row>
    <row r="21" spans="1:45" ht="15.75" x14ac:dyDescent="0.25">
      <c r="A21" s="93">
        <v>9</v>
      </c>
      <c r="B21" s="72" t="s">
        <v>303</v>
      </c>
      <c r="C21" s="94">
        <v>2</v>
      </c>
      <c r="D21" s="95">
        <v>1</v>
      </c>
      <c r="E21" s="95">
        <v>1</v>
      </c>
      <c r="F21" s="95"/>
      <c r="G21" s="95">
        <v>5</v>
      </c>
      <c r="H21" s="95">
        <v>1</v>
      </c>
      <c r="I21" s="95">
        <v>1</v>
      </c>
      <c r="J21" s="95"/>
      <c r="K21" s="95">
        <v>1</v>
      </c>
      <c r="L21" s="95">
        <v>1</v>
      </c>
      <c r="M21" s="95">
        <v>1</v>
      </c>
      <c r="N21" s="95"/>
      <c r="O21" s="95">
        <v>1</v>
      </c>
      <c r="P21" s="95">
        <v>1</v>
      </c>
      <c r="Q21" s="95"/>
      <c r="R21" s="95"/>
      <c r="S21" s="95">
        <v>1</v>
      </c>
      <c r="T21" s="95"/>
      <c r="U21" s="95">
        <v>1</v>
      </c>
      <c r="V21" s="74">
        <v>1</v>
      </c>
      <c r="W21" s="74"/>
      <c r="X21" s="74"/>
      <c r="Y21" s="74">
        <v>1</v>
      </c>
      <c r="Z21" s="74"/>
      <c r="AA21" s="74"/>
      <c r="AB21" s="74"/>
      <c r="AC21" s="74">
        <v>1</v>
      </c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>
        <v>1</v>
      </c>
      <c r="AO21" s="74"/>
      <c r="AP21" s="74"/>
      <c r="AQ21" s="74">
        <v>20</v>
      </c>
      <c r="AR21" s="74"/>
      <c r="AS21" s="74"/>
    </row>
    <row r="22" spans="1:45" ht="15.75" x14ac:dyDescent="0.25">
      <c r="A22" s="93">
        <v>10</v>
      </c>
      <c r="B22" s="72" t="s">
        <v>66</v>
      </c>
      <c r="C22" s="94">
        <v>2</v>
      </c>
      <c r="D22" s="95">
        <v>1</v>
      </c>
      <c r="E22" s="95">
        <v>1</v>
      </c>
      <c r="F22" s="95"/>
      <c r="G22" s="95">
        <v>5</v>
      </c>
      <c r="H22" s="95">
        <v>1</v>
      </c>
      <c r="I22" s="95">
        <v>1</v>
      </c>
      <c r="J22" s="95"/>
      <c r="K22" s="95">
        <v>1</v>
      </c>
      <c r="L22" s="95">
        <v>1</v>
      </c>
      <c r="M22" s="95">
        <v>1</v>
      </c>
      <c r="N22" s="95"/>
      <c r="O22" s="95">
        <v>1</v>
      </c>
      <c r="P22" s="95">
        <v>1</v>
      </c>
      <c r="Q22" s="95"/>
      <c r="R22" s="95"/>
      <c r="S22" s="95">
        <v>1</v>
      </c>
      <c r="T22" s="95"/>
      <c r="U22" s="95">
        <v>1</v>
      </c>
      <c r="V22" s="74">
        <v>1</v>
      </c>
      <c r="W22" s="74"/>
      <c r="X22" s="74"/>
      <c r="Y22" s="74">
        <v>1</v>
      </c>
      <c r="Z22" s="74"/>
      <c r="AA22" s="74"/>
      <c r="AB22" s="74"/>
      <c r="AC22" s="74">
        <v>1</v>
      </c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>
        <v>1</v>
      </c>
      <c r="AO22" s="74"/>
      <c r="AP22" s="74"/>
      <c r="AQ22" s="74"/>
      <c r="AR22" s="74"/>
      <c r="AS22" s="74"/>
    </row>
    <row r="23" spans="1:45" ht="15.75" x14ac:dyDescent="0.25">
      <c r="A23" s="93">
        <v>11</v>
      </c>
      <c r="B23" s="72" t="s">
        <v>67</v>
      </c>
      <c r="C23" s="94">
        <v>2</v>
      </c>
      <c r="D23" s="95">
        <v>1</v>
      </c>
      <c r="E23" s="95">
        <v>1</v>
      </c>
      <c r="F23" s="95"/>
      <c r="G23" s="95">
        <v>5</v>
      </c>
      <c r="H23" s="95">
        <v>1</v>
      </c>
      <c r="I23" s="95">
        <v>1</v>
      </c>
      <c r="J23" s="95"/>
      <c r="K23" s="95">
        <v>1</v>
      </c>
      <c r="L23" s="95">
        <v>1</v>
      </c>
      <c r="M23" s="95">
        <v>1</v>
      </c>
      <c r="N23" s="95"/>
      <c r="O23" s="95">
        <v>1</v>
      </c>
      <c r="P23" s="95">
        <v>1</v>
      </c>
      <c r="Q23" s="95"/>
      <c r="R23" s="95"/>
      <c r="S23" s="95">
        <v>1</v>
      </c>
      <c r="T23" s="95"/>
      <c r="U23" s="95">
        <v>1</v>
      </c>
      <c r="V23" s="74">
        <v>1</v>
      </c>
      <c r="W23" s="74"/>
      <c r="X23" s="74"/>
      <c r="Y23" s="74">
        <v>1</v>
      </c>
      <c r="Z23" s="74"/>
      <c r="AA23" s="74"/>
      <c r="AB23" s="74"/>
      <c r="AC23" s="74">
        <v>1</v>
      </c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>
        <v>1</v>
      </c>
      <c r="AO23" s="74"/>
      <c r="AP23" s="74"/>
      <c r="AQ23" s="74">
        <v>20</v>
      </c>
      <c r="AR23" s="74"/>
      <c r="AS23" s="74"/>
    </row>
    <row r="24" spans="1:45" ht="15.75" x14ac:dyDescent="0.25">
      <c r="A24" s="93">
        <v>12</v>
      </c>
      <c r="B24" s="72" t="s">
        <v>69</v>
      </c>
      <c r="C24" s="94">
        <v>2</v>
      </c>
      <c r="D24" s="95">
        <v>1</v>
      </c>
      <c r="E24" s="95">
        <v>1</v>
      </c>
      <c r="F24" s="95"/>
      <c r="G24" s="95">
        <v>5</v>
      </c>
      <c r="H24" s="95">
        <v>1</v>
      </c>
      <c r="I24" s="95">
        <v>1</v>
      </c>
      <c r="J24" s="95"/>
      <c r="K24" s="95">
        <v>1</v>
      </c>
      <c r="L24" s="95">
        <v>1</v>
      </c>
      <c r="M24" s="95">
        <v>1</v>
      </c>
      <c r="N24" s="95"/>
      <c r="O24" s="95">
        <v>1</v>
      </c>
      <c r="P24" s="95">
        <v>1</v>
      </c>
      <c r="Q24" s="95"/>
      <c r="R24" s="95"/>
      <c r="S24" s="95">
        <v>1</v>
      </c>
      <c r="T24" s="95"/>
      <c r="U24" s="95">
        <v>1</v>
      </c>
      <c r="V24" s="74">
        <v>1</v>
      </c>
      <c r="W24" s="74"/>
      <c r="X24" s="74"/>
      <c r="Y24" s="74">
        <v>1</v>
      </c>
      <c r="Z24" s="74"/>
      <c r="AA24" s="74"/>
      <c r="AB24" s="74"/>
      <c r="AC24" s="74">
        <v>1</v>
      </c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>
        <v>1</v>
      </c>
      <c r="AO24" s="74"/>
      <c r="AP24" s="74"/>
      <c r="AQ24" s="74">
        <v>20</v>
      </c>
      <c r="AR24" s="74"/>
      <c r="AS24" s="74"/>
    </row>
    <row r="25" spans="1:45" ht="15.75" x14ac:dyDescent="0.25">
      <c r="A25" s="93">
        <v>13</v>
      </c>
      <c r="B25" s="72" t="s">
        <v>70</v>
      </c>
      <c r="C25" s="94">
        <v>2</v>
      </c>
      <c r="D25" s="95">
        <v>1</v>
      </c>
      <c r="E25" s="95">
        <v>1</v>
      </c>
      <c r="F25" s="95"/>
      <c r="G25" s="95">
        <v>5</v>
      </c>
      <c r="H25" s="95">
        <v>1</v>
      </c>
      <c r="I25" s="95">
        <v>1</v>
      </c>
      <c r="J25" s="95"/>
      <c r="K25" s="95">
        <v>1</v>
      </c>
      <c r="L25" s="95">
        <v>1</v>
      </c>
      <c r="M25" s="95">
        <v>1</v>
      </c>
      <c r="N25" s="95"/>
      <c r="O25" s="95">
        <v>1</v>
      </c>
      <c r="P25" s="95">
        <v>1</v>
      </c>
      <c r="Q25" s="95"/>
      <c r="R25" s="95"/>
      <c r="S25" s="95">
        <v>1</v>
      </c>
      <c r="T25" s="95"/>
      <c r="U25" s="95">
        <v>1</v>
      </c>
      <c r="V25" s="74">
        <v>1</v>
      </c>
      <c r="W25" s="74"/>
      <c r="X25" s="74"/>
      <c r="Y25" s="74">
        <v>1</v>
      </c>
      <c r="Z25" s="74"/>
      <c r="AA25" s="74"/>
      <c r="AB25" s="74"/>
      <c r="AC25" s="74">
        <v>1</v>
      </c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>
        <v>1</v>
      </c>
      <c r="AO25" s="74"/>
      <c r="AP25" s="74"/>
      <c r="AQ25" s="74">
        <v>20</v>
      </c>
      <c r="AR25" s="74"/>
      <c r="AS25" s="74"/>
    </row>
    <row r="26" spans="1:45" ht="15.75" x14ac:dyDescent="0.25">
      <c r="A26" s="93">
        <v>14</v>
      </c>
      <c r="B26" s="72" t="s">
        <v>72</v>
      </c>
      <c r="C26" s="94">
        <v>2</v>
      </c>
      <c r="D26" s="95">
        <v>1</v>
      </c>
      <c r="E26" s="95">
        <v>1</v>
      </c>
      <c r="F26" s="95"/>
      <c r="G26" s="95">
        <v>5</v>
      </c>
      <c r="H26" s="95">
        <v>1</v>
      </c>
      <c r="I26" s="95">
        <v>1</v>
      </c>
      <c r="J26" s="95"/>
      <c r="K26" s="95">
        <v>1</v>
      </c>
      <c r="L26" s="95">
        <v>1</v>
      </c>
      <c r="M26" s="95">
        <v>1</v>
      </c>
      <c r="N26" s="95"/>
      <c r="O26" s="95">
        <v>1</v>
      </c>
      <c r="P26" s="95">
        <v>1</v>
      </c>
      <c r="Q26" s="95"/>
      <c r="R26" s="95"/>
      <c r="S26" s="95">
        <v>1</v>
      </c>
      <c r="T26" s="95"/>
      <c r="U26" s="95">
        <v>1</v>
      </c>
      <c r="V26" s="74">
        <v>1</v>
      </c>
      <c r="W26" s="74"/>
      <c r="X26" s="74"/>
      <c r="Y26" s="74">
        <v>1</v>
      </c>
      <c r="Z26" s="74"/>
      <c r="AA26" s="74"/>
      <c r="AB26" s="74"/>
      <c r="AC26" s="74">
        <v>1</v>
      </c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>
        <v>1</v>
      </c>
      <c r="AO26" s="74"/>
      <c r="AP26" s="74"/>
      <c r="AQ26" s="74">
        <v>20</v>
      </c>
      <c r="AR26" s="74"/>
      <c r="AS26" s="74"/>
    </row>
    <row r="27" spans="1:45" ht="15.75" x14ac:dyDescent="0.25">
      <c r="A27" s="93">
        <v>15</v>
      </c>
      <c r="B27" s="72" t="s">
        <v>73</v>
      </c>
      <c r="C27" s="94">
        <v>2</v>
      </c>
      <c r="D27" s="95">
        <v>1</v>
      </c>
      <c r="E27" s="95">
        <v>1</v>
      </c>
      <c r="F27" s="95"/>
      <c r="G27" s="95">
        <v>5</v>
      </c>
      <c r="H27" s="95">
        <v>1</v>
      </c>
      <c r="I27" s="95">
        <v>1</v>
      </c>
      <c r="J27" s="95"/>
      <c r="K27" s="95">
        <v>1</v>
      </c>
      <c r="L27" s="95">
        <v>1</v>
      </c>
      <c r="M27" s="95">
        <v>1</v>
      </c>
      <c r="N27" s="95"/>
      <c r="O27" s="95">
        <v>1</v>
      </c>
      <c r="P27" s="95">
        <v>1</v>
      </c>
      <c r="Q27" s="95"/>
      <c r="R27" s="95"/>
      <c r="S27" s="95">
        <v>1</v>
      </c>
      <c r="T27" s="95"/>
      <c r="U27" s="95">
        <v>1</v>
      </c>
      <c r="V27" s="74">
        <v>1</v>
      </c>
      <c r="W27" s="74"/>
      <c r="X27" s="74"/>
      <c r="Y27" s="74">
        <v>1</v>
      </c>
      <c r="Z27" s="74"/>
      <c r="AA27" s="74"/>
      <c r="AB27" s="74"/>
      <c r="AC27" s="74">
        <v>1</v>
      </c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>
        <v>1</v>
      </c>
      <c r="AO27" s="74"/>
      <c r="AP27" s="74"/>
      <c r="AQ27" s="74">
        <v>20</v>
      </c>
      <c r="AR27" s="74"/>
      <c r="AS27" s="74"/>
    </row>
    <row r="28" spans="1:45" ht="15.75" x14ac:dyDescent="0.25">
      <c r="A28" s="93">
        <v>16</v>
      </c>
      <c r="B28" s="72" t="s">
        <v>76</v>
      </c>
      <c r="C28" s="94">
        <v>2</v>
      </c>
      <c r="D28" s="95">
        <v>1</v>
      </c>
      <c r="E28" s="95">
        <v>1</v>
      </c>
      <c r="F28" s="95"/>
      <c r="G28" s="95">
        <v>5</v>
      </c>
      <c r="H28" s="95">
        <v>1</v>
      </c>
      <c r="I28" s="95">
        <v>1</v>
      </c>
      <c r="J28" s="95"/>
      <c r="K28" s="95">
        <v>1</v>
      </c>
      <c r="L28" s="95">
        <v>1</v>
      </c>
      <c r="M28" s="95">
        <v>1</v>
      </c>
      <c r="N28" s="95"/>
      <c r="O28" s="95">
        <v>1</v>
      </c>
      <c r="P28" s="95">
        <v>1</v>
      </c>
      <c r="Q28" s="95"/>
      <c r="R28" s="95"/>
      <c r="S28" s="95">
        <v>1</v>
      </c>
      <c r="T28" s="95"/>
      <c r="U28" s="95">
        <v>1</v>
      </c>
      <c r="V28" s="74">
        <v>1</v>
      </c>
      <c r="W28" s="74"/>
      <c r="X28" s="74"/>
      <c r="Y28" s="74">
        <v>1</v>
      </c>
      <c r="Z28" s="74"/>
      <c r="AA28" s="74"/>
      <c r="AB28" s="74"/>
      <c r="AC28" s="74">
        <v>1</v>
      </c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>
        <v>1</v>
      </c>
      <c r="AO28" s="74"/>
      <c r="AP28" s="74"/>
      <c r="AQ28" s="74"/>
      <c r="AR28" s="74"/>
      <c r="AS28" s="74"/>
    </row>
    <row r="29" spans="1:45" ht="15.75" x14ac:dyDescent="0.25">
      <c r="A29" s="93">
        <v>17</v>
      </c>
      <c r="B29" s="72" t="s">
        <v>77</v>
      </c>
      <c r="C29" s="94">
        <v>2</v>
      </c>
      <c r="D29" s="95">
        <v>1</v>
      </c>
      <c r="E29" s="95">
        <v>1</v>
      </c>
      <c r="F29" s="95"/>
      <c r="G29" s="95">
        <v>5</v>
      </c>
      <c r="H29" s="95">
        <v>1</v>
      </c>
      <c r="I29" s="95">
        <v>1</v>
      </c>
      <c r="J29" s="95"/>
      <c r="K29" s="95">
        <v>1</v>
      </c>
      <c r="L29" s="95">
        <v>1</v>
      </c>
      <c r="M29" s="95">
        <v>1</v>
      </c>
      <c r="N29" s="95"/>
      <c r="O29" s="95">
        <v>1</v>
      </c>
      <c r="P29" s="95">
        <v>1</v>
      </c>
      <c r="Q29" s="95"/>
      <c r="R29" s="95"/>
      <c r="S29" s="95">
        <v>1</v>
      </c>
      <c r="T29" s="95"/>
      <c r="U29" s="95">
        <v>1</v>
      </c>
      <c r="V29" s="74">
        <v>1</v>
      </c>
      <c r="W29" s="74"/>
      <c r="X29" s="74"/>
      <c r="Y29" s="74">
        <v>1</v>
      </c>
      <c r="Z29" s="74"/>
      <c r="AA29" s="74"/>
      <c r="AB29" s="74"/>
      <c r="AC29" s="74">
        <v>1</v>
      </c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>
        <v>1</v>
      </c>
      <c r="AO29" s="74"/>
      <c r="AP29" s="74"/>
      <c r="AQ29" s="74"/>
      <c r="AR29" s="74"/>
      <c r="AS29" s="74"/>
    </row>
    <row r="30" spans="1:45" ht="15.75" x14ac:dyDescent="0.25">
      <c r="A30" s="93">
        <v>18</v>
      </c>
      <c r="B30" s="73" t="s">
        <v>78</v>
      </c>
      <c r="C30" s="94">
        <v>2</v>
      </c>
      <c r="D30" s="95">
        <v>1</v>
      </c>
      <c r="E30" s="95">
        <v>1</v>
      </c>
      <c r="F30" s="95"/>
      <c r="G30" s="95">
        <v>5</v>
      </c>
      <c r="H30" s="95">
        <v>1</v>
      </c>
      <c r="I30" s="95">
        <v>1</v>
      </c>
      <c r="J30" s="95"/>
      <c r="K30" s="95">
        <v>1</v>
      </c>
      <c r="L30" s="95">
        <v>1</v>
      </c>
      <c r="M30" s="95">
        <v>1</v>
      </c>
      <c r="N30" s="95"/>
      <c r="O30" s="95">
        <v>1</v>
      </c>
      <c r="P30" s="95">
        <v>1</v>
      </c>
      <c r="Q30" s="95"/>
      <c r="R30" s="95"/>
      <c r="S30" s="95">
        <v>1</v>
      </c>
      <c r="T30" s="95"/>
      <c r="U30" s="95">
        <v>1</v>
      </c>
      <c r="V30" s="74">
        <v>1</v>
      </c>
      <c r="W30" s="74"/>
      <c r="X30" s="74"/>
      <c r="Y30" s="74">
        <v>1</v>
      </c>
      <c r="Z30" s="74"/>
      <c r="AA30" s="74"/>
      <c r="AB30" s="74"/>
      <c r="AC30" s="74">
        <v>1</v>
      </c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>
        <v>1</v>
      </c>
      <c r="AO30" s="74"/>
      <c r="AP30" s="74"/>
      <c r="AQ30" s="74">
        <v>20</v>
      </c>
      <c r="AR30" s="74"/>
      <c r="AS30" s="74"/>
    </row>
    <row r="31" spans="1:45" ht="15.75" x14ac:dyDescent="0.25">
      <c r="A31" s="93">
        <v>19</v>
      </c>
      <c r="B31" s="73" t="s">
        <v>79</v>
      </c>
      <c r="C31" s="94">
        <v>2</v>
      </c>
      <c r="D31" s="95">
        <v>1</v>
      </c>
      <c r="E31" s="95">
        <v>1</v>
      </c>
      <c r="F31" s="95"/>
      <c r="G31" s="95">
        <v>5</v>
      </c>
      <c r="H31" s="95">
        <v>1</v>
      </c>
      <c r="I31" s="95">
        <v>1</v>
      </c>
      <c r="J31" s="95"/>
      <c r="K31" s="95">
        <v>1</v>
      </c>
      <c r="L31" s="95">
        <v>1</v>
      </c>
      <c r="M31" s="95">
        <v>1</v>
      </c>
      <c r="N31" s="95"/>
      <c r="O31" s="95">
        <v>1</v>
      </c>
      <c r="P31" s="95">
        <v>1</v>
      </c>
      <c r="Q31" s="95"/>
      <c r="R31" s="95"/>
      <c r="S31" s="95">
        <v>1</v>
      </c>
      <c r="T31" s="95"/>
      <c r="U31" s="95">
        <v>1</v>
      </c>
      <c r="V31" s="74">
        <v>1</v>
      </c>
      <c r="W31" s="74"/>
      <c r="X31" s="74"/>
      <c r="Y31" s="74">
        <v>1</v>
      </c>
      <c r="Z31" s="74"/>
      <c r="AA31" s="74"/>
      <c r="AB31" s="74"/>
      <c r="AC31" s="74">
        <v>1</v>
      </c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>
        <v>1</v>
      </c>
      <c r="AO31" s="74"/>
      <c r="AP31" s="74"/>
      <c r="AQ31" s="74">
        <v>20</v>
      </c>
      <c r="AR31" s="74"/>
      <c r="AS31" s="74"/>
    </row>
    <row r="32" spans="1:45" ht="15.75" x14ac:dyDescent="0.25">
      <c r="A32" s="93">
        <v>20</v>
      </c>
      <c r="B32" s="73" t="s">
        <v>80</v>
      </c>
      <c r="C32" s="94">
        <v>2</v>
      </c>
      <c r="D32" s="95">
        <v>1</v>
      </c>
      <c r="E32" s="95">
        <v>1</v>
      </c>
      <c r="F32" s="95"/>
      <c r="G32" s="95">
        <v>5</v>
      </c>
      <c r="H32" s="95">
        <v>1</v>
      </c>
      <c r="I32" s="95">
        <v>1</v>
      </c>
      <c r="J32" s="95"/>
      <c r="K32" s="95">
        <v>1</v>
      </c>
      <c r="L32" s="95">
        <v>1</v>
      </c>
      <c r="M32" s="95">
        <v>1</v>
      </c>
      <c r="N32" s="95"/>
      <c r="O32" s="95">
        <v>1</v>
      </c>
      <c r="P32" s="95">
        <v>1</v>
      </c>
      <c r="Q32" s="95"/>
      <c r="R32" s="95"/>
      <c r="S32" s="95">
        <v>1</v>
      </c>
      <c r="T32" s="95"/>
      <c r="U32" s="95">
        <v>1</v>
      </c>
      <c r="V32" s="74">
        <v>1</v>
      </c>
      <c r="W32" s="74"/>
      <c r="X32" s="74"/>
      <c r="Y32" s="74">
        <v>1</v>
      </c>
      <c r="Z32" s="74"/>
      <c r="AA32" s="74"/>
      <c r="AB32" s="74"/>
      <c r="AC32" s="74">
        <v>1</v>
      </c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>
        <v>1</v>
      </c>
      <c r="AO32" s="74"/>
      <c r="AP32" s="74"/>
      <c r="AQ32" s="74">
        <v>20</v>
      </c>
      <c r="AR32" s="74"/>
      <c r="AS32" s="74"/>
    </row>
    <row r="33" spans="1:45" ht="15.75" x14ac:dyDescent="0.25">
      <c r="A33" s="93">
        <v>21</v>
      </c>
      <c r="B33" s="72" t="s">
        <v>81</v>
      </c>
      <c r="C33" s="94">
        <v>2</v>
      </c>
      <c r="D33" s="95">
        <v>1</v>
      </c>
      <c r="E33" s="95">
        <v>1</v>
      </c>
      <c r="F33" s="95"/>
      <c r="G33" s="95">
        <v>5</v>
      </c>
      <c r="H33" s="95">
        <v>1</v>
      </c>
      <c r="I33" s="95">
        <v>1</v>
      </c>
      <c r="J33" s="95"/>
      <c r="K33" s="95">
        <v>1</v>
      </c>
      <c r="L33" s="95">
        <v>1</v>
      </c>
      <c r="M33" s="95">
        <v>1</v>
      </c>
      <c r="N33" s="95"/>
      <c r="O33" s="95">
        <v>1</v>
      </c>
      <c r="P33" s="95">
        <v>1</v>
      </c>
      <c r="Q33" s="95"/>
      <c r="R33" s="95"/>
      <c r="S33" s="95">
        <v>1</v>
      </c>
      <c r="T33" s="95"/>
      <c r="U33" s="95">
        <v>1</v>
      </c>
      <c r="V33" s="74">
        <v>1</v>
      </c>
      <c r="W33" s="74"/>
      <c r="X33" s="74"/>
      <c r="Y33" s="74">
        <v>1</v>
      </c>
      <c r="Z33" s="74"/>
      <c r="AA33" s="74"/>
      <c r="AB33" s="74"/>
      <c r="AC33" s="74">
        <v>1</v>
      </c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>
        <v>1</v>
      </c>
      <c r="AO33" s="74"/>
      <c r="AP33" s="74"/>
      <c r="AQ33" s="74"/>
      <c r="AR33" s="74"/>
      <c r="AS33" s="74"/>
    </row>
    <row r="34" spans="1:45" ht="15.75" x14ac:dyDescent="0.25">
      <c r="A34" s="93">
        <v>22</v>
      </c>
      <c r="B34" s="72" t="s">
        <v>82</v>
      </c>
      <c r="C34" s="94">
        <v>2</v>
      </c>
      <c r="D34" s="95">
        <v>1</v>
      </c>
      <c r="E34" s="95">
        <v>1</v>
      </c>
      <c r="F34" s="95"/>
      <c r="G34" s="95">
        <v>5</v>
      </c>
      <c r="H34" s="95">
        <v>1</v>
      </c>
      <c r="I34" s="95">
        <v>1</v>
      </c>
      <c r="J34" s="95"/>
      <c r="K34" s="95">
        <v>1</v>
      </c>
      <c r="L34" s="95">
        <v>1</v>
      </c>
      <c r="M34" s="95">
        <v>1</v>
      </c>
      <c r="N34" s="95"/>
      <c r="O34" s="95">
        <v>1</v>
      </c>
      <c r="P34" s="95">
        <v>1</v>
      </c>
      <c r="Q34" s="95"/>
      <c r="R34" s="95"/>
      <c r="S34" s="95">
        <v>1</v>
      </c>
      <c r="T34" s="95"/>
      <c r="U34" s="95">
        <v>1</v>
      </c>
      <c r="V34" s="74">
        <v>1</v>
      </c>
      <c r="W34" s="74"/>
      <c r="X34" s="74"/>
      <c r="Y34" s="74">
        <v>1</v>
      </c>
      <c r="Z34" s="74"/>
      <c r="AA34" s="74"/>
      <c r="AB34" s="74"/>
      <c r="AC34" s="74">
        <v>1</v>
      </c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>
        <v>1</v>
      </c>
      <c r="AO34" s="74"/>
      <c r="AP34" s="74"/>
      <c r="AQ34" s="74">
        <v>20</v>
      </c>
      <c r="AR34" s="74"/>
      <c r="AS34" s="74"/>
    </row>
    <row r="35" spans="1:45" ht="15.75" x14ac:dyDescent="0.25">
      <c r="A35" s="93">
        <v>23</v>
      </c>
      <c r="B35" s="72" t="s">
        <v>83</v>
      </c>
      <c r="C35" s="94">
        <v>2</v>
      </c>
      <c r="D35" s="95">
        <v>1</v>
      </c>
      <c r="E35" s="95">
        <v>1</v>
      </c>
      <c r="F35" s="95"/>
      <c r="G35" s="95">
        <v>5</v>
      </c>
      <c r="H35" s="95">
        <v>1</v>
      </c>
      <c r="I35" s="95">
        <v>1</v>
      </c>
      <c r="J35" s="95"/>
      <c r="K35" s="95">
        <v>1</v>
      </c>
      <c r="L35" s="95">
        <v>1</v>
      </c>
      <c r="M35" s="95">
        <v>1</v>
      </c>
      <c r="N35" s="95"/>
      <c r="O35" s="95">
        <v>1</v>
      </c>
      <c r="P35" s="95">
        <v>1</v>
      </c>
      <c r="Q35" s="95"/>
      <c r="R35" s="95"/>
      <c r="S35" s="95">
        <v>1</v>
      </c>
      <c r="T35" s="95"/>
      <c r="U35" s="95">
        <v>1</v>
      </c>
      <c r="V35" s="74">
        <v>1</v>
      </c>
      <c r="W35" s="74"/>
      <c r="X35" s="74"/>
      <c r="Y35" s="74">
        <v>1</v>
      </c>
      <c r="Z35" s="74"/>
      <c r="AA35" s="74"/>
      <c r="AB35" s="74"/>
      <c r="AC35" s="74">
        <v>1</v>
      </c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>
        <v>1</v>
      </c>
      <c r="AO35" s="74"/>
      <c r="AP35" s="74"/>
      <c r="AQ35" s="74">
        <v>20</v>
      </c>
      <c r="AR35" s="74"/>
      <c r="AS35" s="74"/>
    </row>
    <row r="36" spans="1:45" ht="15.75" x14ac:dyDescent="0.25">
      <c r="A36" s="93">
        <v>24</v>
      </c>
      <c r="B36" s="72" t="s">
        <v>84</v>
      </c>
      <c r="C36" s="94">
        <v>2</v>
      </c>
      <c r="D36" s="95">
        <v>1</v>
      </c>
      <c r="E36" s="95">
        <v>1</v>
      </c>
      <c r="F36" s="95"/>
      <c r="G36" s="95">
        <v>5</v>
      </c>
      <c r="H36" s="95">
        <v>1</v>
      </c>
      <c r="I36" s="95">
        <v>1</v>
      </c>
      <c r="J36" s="95"/>
      <c r="K36" s="95">
        <v>1</v>
      </c>
      <c r="L36" s="95">
        <v>1</v>
      </c>
      <c r="M36" s="95">
        <v>1</v>
      </c>
      <c r="N36" s="95"/>
      <c r="O36" s="95">
        <v>1</v>
      </c>
      <c r="P36" s="95">
        <v>1</v>
      </c>
      <c r="Q36" s="95"/>
      <c r="R36" s="95"/>
      <c r="S36" s="95">
        <v>1</v>
      </c>
      <c r="T36" s="95"/>
      <c r="U36" s="95">
        <v>1</v>
      </c>
      <c r="V36" s="74">
        <v>1</v>
      </c>
      <c r="W36" s="74"/>
      <c r="X36" s="74"/>
      <c r="Y36" s="74">
        <v>1</v>
      </c>
      <c r="Z36" s="74"/>
      <c r="AA36" s="74"/>
      <c r="AB36" s="74"/>
      <c r="AC36" s="74">
        <v>1</v>
      </c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>
        <v>1</v>
      </c>
      <c r="AO36" s="74"/>
      <c r="AP36" s="74"/>
      <c r="AQ36" s="74">
        <v>20</v>
      </c>
      <c r="AR36" s="74"/>
      <c r="AS36" s="74"/>
    </row>
    <row r="37" spans="1:45" ht="15.75" x14ac:dyDescent="0.25">
      <c r="A37" s="93">
        <v>25</v>
      </c>
      <c r="B37" s="72" t="s">
        <v>85</v>
      </c>
      <c r="C37" s="94">
        <v>2</v>
      </c>
      <c r="D37" s="95">
        <v>1</v>
      </c>
      <c r="E37" s="95">
        <v>1</v>
      </c>
      <c r="F37" s="95"/>
      <c r="G37" s="95">
        <v>5</v>
      </c>
      <c r="H37" s="95">
        <v>1</v>
      </c>
      <c r="I37" s="95">
        <v>1</v>
      </c>
      <c r="J37" s="95"/>
      <c r="K37" s="95">
        <v>1</v>
      </c>
      <c r="L37" s="95">
        <v>1</v>
      </c>
      <c r="M37" s="95">
        <v>1</v>
      </c>
      <c r="N37" s="95"/>
      <c r="O37" s="95">
        <v>1</v>
      </c>
      <c r="P37" s="95">
        <v>1</v>
      </c>
      <c r="Q37" s="95"/>
      <c r="R37" s="95"/>
      <c r="S37" s="95">
        <v>1</v>
      </c>
      <c r="T37" s="95"/>
      <c r="U37" s="95">
        <v>1</v>
      </c>
      <c r="V37" s="74">
        <v>1</v>
      </c>
      <c r="W37" s="74"/>
      <c r="X37" s="74"/>
      <c r="Y37" s="74">
        <v>1</v>
      </c>
      <c r="Z37" s="74"/>
      <c r="AA37" s="74"/>
      <c r="AB37" s="74"/>
      <c r="AC37" s="74">
        <v>1</v>
      </c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>
        <v>1</v>
      </c>
      <c r="AO37" s="74"/>
      <c r="AP37" s="74"/>
      <c r="AQ37" s="74">
        <v>20</v>
      </c>
      <c r="AR37" s="74"/>
      <c r="AS37" s="74"/>
    </row>
    <row r="38" spans="1:45" ht="15.75" x14ac:dyDescent="0.25">
      <c r="A38" s="93">
        <v>26</v>
      </c>
      <c r="B38" s="73" t="s">
        <v>86</v>
      </c>
      <c r="C38" s="94">
        <v>2</v>
      </c>
      <c r="D38" s="95">
        <v>1</v>
      </c>
      <c r="E38" s="95">
        <v>1</v>
      </c>
      <c r="F38" s="95"/>
      <c r="G38" s="95">
        <v>5</v>
      </c>
      <c r="H38" s="95">
        <v>1</v>
      </c>
      <c r="I38" s="95">
        <v>1</v>
      </c>
      <c r="J38" s="95"/>
      <c r="K38" s="95">
        <v>1</v>
      </c>
      <c r="L38" s="95">
        <v>1</v>
      </c>
      <c r="M38" s="95">
        <v>1</v>
      </c>
      <c r="N38" s="95"/>
      <c r="O38" s="95">
        <v>1</v>
      </c>
      <c r="P38" s="95">
        <v>1</v>
      </c>
      <c r="Q38" s="95"/>
      <c r="R38" s="95"/>
      <c r="S38" s="95">
        <v>1</v>
      </c>
      <c r="T38" s="95"/>
      <c r="U38" s="95">
        <v>1</v>
      </c>
      <c r="V38" s="74">
        <v>1</v>
      </c>
      <c r="W38" s="74"/>
      <c r="X38" s="74"/>
      <c r="Y38" s="74">
        <v>1</v>
      </c>
      <c r="Z38" s="74"/>
      <c r="AA38" s="74"/>
      <c r="AB38" s="74"/>
      <c r="AC38" s="74">
        <v>1</v>
      </c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>
        <v>1</v>
      </c>
      <c r="AO38" s="74"/>
      <c r="AP38" s="74"/>
      <c r="AQ38" s="74">
        <v>20</v>
      </c>
      <c r="AR38" s="74"/>
      <c r="AS38" s="74"/>
    </row>
    <row r="39" spans="1:45" ht="15.75" x14ac:dyDescent="0.25">
      <c r="A39" s="93">
        <v>27</v>
      </c>
      <c r="B39" s="72" t="s">
        <v>87</v>
      </c>
      <c r="C39" s="94">
        <v>2</v>
      </c>
      <c r="D39" s="95">
        <v>1</v>
      </c>
      <c r="E39" s="95">
        <v>1</v>
      </c>
      <c r="F39" s="95"/>
      <c r="G39" s="95">
        <v>5</v>
      </c>
      <c r="H39" s="95">
        <v>1</v>
      </c>
      <c r="I39" s="95">
        <v>1</v>
      </c>
      <c r="J39" s="95"/>
      <c r="K39" s="95">
        <v>1</v>
      </c>
      <c r="L39" s="95">
        <v>1</v>
      </c>
      <c r="M39" s="95">
        <v>1</v>
      </c>
      <c r="N39" s="95"/>
      <c r="O39" s="95">
        <v>1</v>
      </c>
      <c r="P39" s="95">
        <v>1</v>
      </c>
      <c r="Q39" s="95"/>
      <c r="R39" s="95"/>
      <c r="S39" s="95">
        <v>1</v>
      </c>
      <c r="T39" s="95"/>
      <c r="U39" s="95">
        <v>1</v>
      </c>
      <c r="V39" s="74">
        <v>1</v>
      </c>
      <c r="W39" s="74"/>
      <c r="X39" s="74"/>
      <c r="Y39" s="74">
        <v>1</v>
      </c>
      <c r="Z39" s="74"/>
      <c r="AA39" s="74"/>
      <c r="AB39" s="74"/>
      <c r="AC39" s="74">
        <v>1</v>
      </c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>
        <v>1</v>
      </c>
      <c r="AO39" s="74"/>
      <c r="AP39" s="74"/>
      <c r="AQ39" s="74">
        <v>20</v>
      </c>
      <c r="AR39" s="74"/>
      <c r="AS39" s="74"/>
    </row>
    <row r="40" spans="1:45" ht="15.75" x14ac:dyDescent="0.25">
      <c r="A40" s="93">
        <v>28</v>
      </c>
      <c r="B40" s="72" t="s">
        <v>88</v>
      </c>
      <c r="C40" s="94">
        <v>2</v>
      </c>
      <c r="D40" s="95">
        <v>1</v>
      </c>
      <c r="E40" s="95">
        <v>1</v>
      </c>
      <c r="F40" s="95"/>
      <c r="G40" s="95">
        <v>5</v>
      </c>
      <c r="H40" s="95">
        <v>1</v>
      </c>
      <c r="I40" s="95">
        <v>1</v>
      </c>
      <c r="J40" s="95"/>
      <c r="K40" s="95">
        <v>1</v>
      </c>
      <c r="L40" s="95">
        <v>1</v>
      </c>
      <c r="M40" s="95">
        <v>1</v>
      </c>
      <c r="N40" s="95"/>
      <c r="O40" s="95">
        <v>1</v>
      </c>
      <c r="P40" s="95">
        <v>1</v>
      </c>
      <c r="Q40" s="95"/>
      <c r="R40" s="95"/>
      <c r="S40" s="95">
        <v>1</v>
      </c>
      <c r="T40" s="95"/>
      <c r="U40" s="95">
        <v>1</v>
      </c>
      <c r="V40" s="74">
        <v>1</v>
      </c>
      <c r="W40" s="74"/>
      <c r="X40" s="74"/>
      <c r="Y40" s="74">
        <v>1</v>
      </c>
      <c r="Z40" s="74"/>
      <c r="AA40" s="74"/>
      <c r="AB40" s="74"/>
      <c r="AC40" s="74">
        <v>1</v>
      </c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>
        <v>1</v>
      </c>
      <c r="AO40" s="74"/>
      <c r="AP40" s="74"/>
      <c r="AQ40" s="74"/>
      <c r="AR40" s="74"/>
      <c r="AS40" s="74"/>
    </row>
    <row r="41" spans="1:45" ht="15.75" x14ac:dyDescent="0.25">
      <c r="A41" s="93">
        <v>29</v>
      </c>
      <c r="B41" s="72" t="s">
        <v>89</v>
      </c>
      <c r="C41" s="94">
        <v>2</v>
      </c>
      <c r="D41" s="95">
        <v>1</v>
      </c>
      <c r="E41" s="95">
        <v>1</v>
      </c>
      <c r="F41" s="95"/>
      <c r="G41" s="95">
        <v>5</v>
      </c>
      <c r="H41" s="95">
        <v>1</v>
      </c>
      <c r="I41" s="95">
        <v>1</v>
      </c>
      <c r="J41" s="95"/>
      <c r="K41" s="95">
        <v>1</v>
      </c>
      <c r="L41" s="95">
        <v>1</v>
      </c>
      <c r="M41" s="95">
        <v>1</v>
      </c>
      <c r="N41" s="95"/>
      <c r="O41" s="95">
        <v>1</v>
      </c>
      <c r="P41" s="95">
        <v>1</v>
      </c>
      <c r="Q41" s="95"/>
      <c r="R41" s="95"/>
      <c r="S41" s="95">
        <v>1</v>
      </c>
      <c r="T41" s="95"/>
      <c r="U41" s="95">
        <v>1</v>
      </c>
      <c r="V41" s="74">
        <v>1</v>
      </c>
      <c r="W41" s="74"/>
      <c r="X41" s="74"/>
      <c r="Y41" s="74">
        <v>1</v>
      </c>
      <c r="Z41" s="74"/>
      <c r="AA41" s="74"/>
      <c r="AB41" s="74"/>
      <c r="AC41" s="74">
        <v>1</v>
      </c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>
        <v>1</v>
      </c>
      <c r="AO41" s="74"/>
      <c r="AP41" s="74"/>
      <c r="AQ41" s="74">
        <v>20</v>
      </c>
      <c r="AR41" s="74"/>
      <c r="AS41" s="74"/>
    </row>
    <row r="42" spans="1:45" ht="15.75" x14ac:dyDescent="0.25">
      <c r="A42" s="93">
        <v>30</v>
      </c>
      <c r="B42" s="72" t="s">
        <v>90</v>
      </c>
      <c r="C42" s="94">
        <v>2</v>
      </c>
      <c r="D42" s="95">
        <v>1</v>
      </c>
      <c r="E42" s="95">
        <v>1</v>
      </c>
      <c r="F42" s="95"/>
      <c r="G42" s="95">
        <v>5</v>
      </c>
      <c r="H42" s="95">
        <v>1</v>
      </c>
      <c r="I42" s="95">
        <v>1</v>
      </c>
      <c r="J42" s="95"/>
      <c r="K42" s="95">
        <v>1</v>
      </c>
      <c r="L42" s="95">
        <v>1</v>
      </c>
      <c r="M42" s="95">
        <v>1</v>
      </c>
      <c r="N42" s="95"/>
      <c r="O42" s="95">
        <v>1</v>
      </c>
      <c r="P42" s="95">
        <v>1</v>
      </c>
      <c r="Q42" s="95"/>
      <c r="R42" s="95"/>
      <c r="S42" s="95">
        <v>1</v>
      </c>
      <c r="T42" s="95"/>
      <c r="U42" s="95">
        <v>1</v>
      </c>
      <c r="V42" s="74">
        <v>1</v>
      </c>
      <c r="W42" s="74"/>
      <c r="X42" s="74"/>
      <c r="Y42" s="74">
        <v>1</v>
      </c>
      <c r="Z42" s="74"/>
      <c r="AA42" s="74"/>
      <c r="AB42" s="74"/>
      <c r="AC42" s="74">
        <v>1</v>
      </c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>
        <v>1</v>
      </c>
      <c r="AO42" s="74"/>
      <c r="AP42" s="74"/>
      <c r="AQ42" s="74">
        <v>20</v>
      </c>
      <c r="AR42" s="74"/>
      <c r="AS42" s="74"/>
    </row>
    <row r="43" spans="1:45" ht="15.75" x14ac:dyDescent="0.25">
      <c r="A43" s="93">
        <v>31</v>
      </c>
      <c r="B43" s="42" t="s">
        <v>280</v>
      </c>
      <c r="C43" s="94">
        <v>2</v>
      </c>
      <c r="D43" s="95">
        <v>1</v>
      </c>
      <c r="E43" s="95">
        <v>1</v>
      </c>
      <c r="F43" s="95"/>
      <c r="G43" s="95">
        <v>5</v>
      </c>
      <c r="H43" s="95">
        <v>1</v>
      </c>
      <c r="I43" s="95">
        <v>1</v>
      </c>
      <c r="J43" s="95"/>
      <c r="K43" s="95">
        <v>1</v>
      </c>
      <c r="L43" s="95">
        <v>1</v>
      </c>
      <c r="M43" s="95">
        <v>1</v>
      </c>
      <c r="N43" s="95"/>
      <c r="O43" s="95">
        <v>1</v>
      </c>
      <c r="P43" s="95">
        <v>1</v>
      </c>
      <c r="Q43" s="95"/>
      <c r="R43" s="95"/>
      <c r="S43" s="95">
        <v>1</v>
      </c>
      <c r="T43" s="95"/>
      <c r="U43" s="95">
        <v>1</v>
      </c>
      <c r="V43" s="74">
        <v>1</v>
      </c>
      <c r="W43" s="74"/>
      <c r="X43" s="74"/>
      <c r="Y43" s="74">
        <v>1</v>
      </c>
      <c r="Z43" s="74"/>
      <c r="AA43" s="74"/>
      <c r="AB43" s="74"/>
      <c r="AC43" s="74">
        <v>1</v>
      </c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>
        <v>1</v>
      </c>
      <c r="AO43" s="74"/>
      <c r="AP43" s="74"/>
      <c r="AQ43" s="74">
        <v>20</v>
      </c>
      <c r="AR43" s="74"/>
      <c r="AS43" s="74"/>
    </row>
    <row r="44" spans="1:45" ht="15.75" x14ac:dyDescent="0.25">
      <c r="A44" s="93">
        <v>32</v>
      </c>
      <c r="B44" s="86" t="s">
        <v>274</v>
      </c>
      <c r="C44" s="94">
        <v>2</v>
      </c>
      <c r="D44" s="95">
        <v>1</v>
      </c>
      <c r="E44" s="95">
        <v>1</v>
      </c>
      <c r="F44" s="95"/>
      <c r="G44" s="95">
        <v>5</v>
      </c>
      <c r="H44" s="95">
        <v>1</v>
      </c>
      <c r="I44" s="95">
        <v>1</v>
      </c>
      <c r="J44" s="95"/>
      <c r="K44" s="95">
        <v>1</v>
      </c>
      <c r="L44" s="95">
        <v>1</v>
      </c>
      <c r="M44" s="95">
        <v>1</v>
      </c>
      <c r="N44" s="95"/>
      <c r="O44" s="95">
        <v>1</v>
      </c>
      <c r="P44" s="95">
        <v>1</v>
      </c>
      <c r="Q44" s="95"/>
      <c r="R44" s="95"/>
      <c r="S44" s="95">
        <v>1</v>
      </c>
      <c r="T44" s="95"/>
      <c r="U44" s="95">
        <v>1</v>
      </c>
      <c r="V44" s="74">
        <v>1</v>
      </c>
      <c r="W44" s="74"/>
      <c r="X44" s="74"/>
      <c r="Y44" s="74">
        <v>1</v>
      </c>
      <c r="Z44" s="74"/>
      <c r="AA44" s="74"/>
      <c r="AB44" s="74"/>
      <c r="AC44" s="74">
        <v>1</v>
      </c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>
        <v>1</v>
      </c>
      <c r="AO44" s="74"/>
      <c r="AP44" s="74"/>
      <c r="AQ44" s="74"/>
      <c r="AR44" s="74"/>
      <c r="AS44" s="74"/>
    </row>
    <row r="45" spans="1:45" ht="15.75" x14ac:dyDescent="0.25">
      <c r="A45" s="93">
        <v>33</v>
      </c>
      <c r="B45" s="86" t="s">
        <v>64</v>
      </c>
      <c r="C45" s="94">
        <v>2</v>
      </c>
      <c r="D45" s="95">
        <v>1</v>
      </c>
      <c r="E45" s="95">
        <v>1</v>
      </c>
      <c r="F45" s="95"/>
      <c r="G45" s="95">
        <v>5</v>
      </c>
      <c r="H45" s="95">
        <v>1</v>
      </c>
      <c r="I45" s="95">
        <v>1</v>
      </c>
      <c r="J45" s="95"/>
      <c r="K45" s="95">
        <v>1</v>
      </c>
      <c r="L45" s="95">
        <v>1</v>
      </c>
      <c r="M45" s="95">
        <v>1</v>
      </c>
      <c r="N45" s="95"/>
      <c r="O45" s="95">
        <v>1</v>
      </c>
      <c r="P45" s="95">
        <v>1</v>
      </c>
      <c r="Q45" s="95"/>
      <c r="R45" s="95"/>
      <c r="S45" s="95">
        <v>1</v>
      </c>
      <c r="T45" s="95"/>
      <c r="U45" s="95">
        <v>1</v>
      </c>
      <c r="V45" s="74">
        <v>1</v>
      </c>
      <c r="W45" s="74"/>
      <c r="X45" s="74"/>
      <c r="Y45" s="74">
        <v>1</v>
      </c>
      <c r="Z45" s="74"/>
      <c r="AA45" s="74"/>
      <c r="AB45" s="74"/>
      <c r="AC45" s="74">
        <v>1</v>
      </c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>
        <v>1</v>
      </c>
      <c r="AO45" s="74"/>
      <c r="AP45" s="74"/>
      <c r="AQ45" s="74"/>
      <c r="AR45" s="74"/>
      <c r="AS45" s="74"/>
    </row>
    <row r="46" spans="1:45" ht="15.75" x14ac:dyDescent="0.25">
      <c r="A46" s="93">
        <v>34</v>
      </c>
      <c r="B46" s="41" t="s">
        <v>375</v>
      </c>
      <c r="C46" s="94">
        <v>2</v>
      </c>
      <c r="D46" s="95">
        <v>1</v>
      </c>
      <c r="E46" s="95">
        <v>1</v>
      </c>
      <c r="F46" s="95"/>
      <c r="G46" s="95">
        <v>5</v>
      </c>
      <c r="H46" s="95">
        <v>1</v>
      </c>
      <c r="I46" s="95">
        <v>1</v>
      </c>
      <c r="J46" s="95"/>
      <c r="K46" s="95">
        <v>1</v>
      </c>
      <c r="L46" s="95">
        <v>1</v>
      </c>
      <c r="M46" s="95">
        <v>1</v>
      </c>
      <c r="N46" s="95"/>
      <c r="O46" s="95">
        <v>1</v>
      </c>
      <c r="P46" s="95">
        <v>1</v>
      </c>
      <c r="Q46" s="95"/>
      <c r="R46" s="95"/>
      <c r="S46" s="95">
        <v>1</v>
      </c>
      <c r="T46" s="95"/>
      <c r="U46" s="95">
        <v>1</v>
      </c>
      <c r="V46" s="74">
        <v>1</v>
      </c>
      <c r="W46" s="74"/>
      <c r="X46" s="74"/>
      <c r="Y46" s="74">
        <v>1</v>
      </c>
      <c r="Z46" s="74"/>
      <c r="AA46" s="74"/>
      <c r="AB46" s="74"/>
      <c r="AC46" s="74">
        <v>1</v>
      </c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>
        <v>1</v>
      </c>
      <c r="AO46" s="74"/>
      <c r="AP46" s="74"/>
      <c r="AQ46" s="74">
        <v>20</v>
      </c>
      <c r="AR46" s="74"/>
      <c r="AS46" s="74"/>
    </row>
    <row r="47" spans="1:45" ht="15.75" x14ac:dyDescent="0.25">
      <c r="A47" s="93">
        <v>35</v>
      </c>
      <c r="B47" s="41" t="s">
        <v>75</v>
      </c>
      <c r="C47" s="94">
        <v>2</v>
      </c>
      <c r="D47" s="95">
        <v>1</v>
      </c>
      <c r="E47" s="95">
        <v>1</v>
      </c>
      <c r="F47" s="95"/>
      <c r="G47" s="95">
        <v>5</v>
      </c>
      <c r="H47" s="95">
        <v>1</v>
      </c>
      <c r="I47" s="95">
        <v>1</v>
      </c>
      <c r="J47" s="95"/>
      <c r="K47" s="95">
        <v>1</v>
      </c>
      <c r="L47" s="95">
        <v>1</v>
      </c>
      <c r="M47" s="95">
        <v>1</v>
      </c>
      <c r="N47" s="95"/>
      <c r="O47" s="95">
        <v>1</v>
      </c>
      <c r="P47" s="95">
        <v>1</v>
      </c>
      <c r="Q47" s="95"/>
      <c r="R47" s="95"/>
      <c r="S47" s="95">
        <v>1</v>
      </c>
      <c r="T47" s="95"/>
      <c r="U47" s="95">
        <v>1</v>
      </c>
      <c r="V47" s="74">
        <v>1</v>
      </c>
      <c r="W47" s="74"/>
      <c r="X47" s="74"/>
      <c r="Y47" s="74">
        <v>1</v>
      </c>
      <c r="Z47" s="74"/>
      <c r="AA47" s="74"/>
      <c r="AB47" s="74"/>
      <c r="AC47" s="74">
        <v>1</v>
      </c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>
        <v>1</v>
      </c>
      <c r="AO47" s="74"/>
      <c r="AP47" s="74"/>
      <c r="AQ47" s="74"/>
      <c r="AR47" s="74"/>
      <c r="AS47" s="74"/>
    </row>
    <row r="48" spans="1:45" ht="15.75" x14ac:dyDescent="0.25">
      <c r="A48" s="93">
        <v>36</v>
      </c>
      <c r="B48" s="41" t="s">
        <v>387</v>
      </c>
      <c r="C48" s="94">
        <v>2</v>
      </c>
      <c r="D48" s="95">
        <v>1</v>
      </c>
      <c r="E48" s="95">
        <v>1</v>
      </c>
      <c r="F48" s="95"/>
      <c r="G48" s="95">
        <v>5</v>
      </c>
      <c r="H48" s="95">
        <v>1</v>
      </c>
      <c r="I48" s="95">
        <v>1</v>
      </c>
      <c r="J48" s="95"/>
      <c r="K48" s="95">
        <v>1</v>
      </c>
      <c r="L48" s="95">
        <v>1</v>
      </c>
      <c r="M48" s="95">
        <v>1</v>
      </c>
      <c r="N48" s="95"/>
      <c r="O48" s="95">
        <v>1</v>
      </c>
      <c r="P48" s="95">
        <v>1</v>
      </c>
      <c r="Q48" s="95"/>
      <c r="R48" s="95"/>
      <c r="S48" s="95">
        <v>1</v>
      </c>
      <c r="T48" s="95"/>
      <c r="U48" s="95">
        <v>1</v>
      </c>
      <c r="V48" s="74">
        <v>1</v>
      </c>
      <c r="W48" s="74"/>
      <c r="X48" s="74"/>
      <c r="Y48" s="74">
        <v>1</v>
      </c>
      <c r="Z48" s="74"/>
      <c r="AA48" s="74"/>
      <c r="AB48" s="74"/>
      <c r="AC48" s="74">
        <v>1</v>
      </c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>
        <v>1</v>
      </c>
      <c r="AO48" s="74"/>
      <c r="AP48" s="74"/>
      <c r="AQ48" s="74">
        <v>20</v>
      </c>
      <c r="AR48" s="74"/>
      <c r="AS48" s="74"/>
    </row>
    <row r="49" spans="1:45" ht="15.75" x14ac:dyDescent="0.25">
      <c r="A49" s="93">
        <v>37</v>
      </c>
      <c r="B49" s="41" t="s">
        <v>409</v>
      </c>
      <c r="C49" s="94">
        <v>2</v>
      </c>
      <c r="D49" s="95">
        <v>1</v>
      </c>
      <c r="E49" s="95">
        <v>1</v>
      </c>
      <c r="F49" s="95"/>
      <c r="G49" s="95">
        <v>5</v>
      </c>
      <c r="H49" s="95">
        <v>1</v>
      </c>
      <c r="I49" s="95">
        <v>1</v>
      </c>
      <c r="J49" s="95"/>
      <c r="K49" s="95">
        <v>1</v>
      </c>
      <c r="L49" s="95">
        <v>1</v>
      </c>
      <c r="M49" s="95">
        <v>1</v>
      </c>
      <c r="N49" s="95"/>
      <c r="O49" s="95">
        <v>1</v>
      </c>
      <c r="P49" s="95">
        <v>1</v>
      </c>
      <c r="Q49" s="95"/>
      <c r="R49" s="95"/>
      <c r="S49" s="95">
        <v>1</v>
      </c>
      <c r="T49" s="95"/>
      <c r="U49" s="95">
        <v>1</v>
      </c>
      <c r="V49" s="74">
        <v>1</v>
      </c>
      <c r="W49" s="74"/>
      <c r="X49" s="74"/>
      <c r="Y49" s="74">
        <v>1</v>
      </c>
      <c r="Z49" s="74"/>
      <c r="AA49" s="74"/>
      <c r="AB49" s="74"/>
      <c r="AC49" s="74">
        <v>1</v>
      </c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>
        <v>1</v>
      </c>
      <c r="AO49" s="74"/>
      <c r="AP49" s="74"/>
      <c r="AQ49" s="74"/>
      <c r="AR49" s="74"/>
      <c r="AS49" s="74"/>
    </row>
    <row r="50" spans="1:45" ht="15.75" x14ac:dyDescent="0.25">
      <c r="A50" s="93">
        <v>38</v>
      </c>
      <c r="B50" s="41" t="s">
        <v>275</v>
      </c>
      <c r="C50" s="94">
        <v>2</v>
      </c>
      <c r="D50" s="95">
        <v>1</v>
      </c>
      <c r="E50" s="95">
        <v>1</v>
      </c>
      <c r="F50" s="95"/>
      <c r="G50" s="95">
        <v>5</v>
      </c>
      <c r="H50" s="95">
        <v>1</v>
      </c>
      <c r="I50" s="95">
        <v>1</v>
      </c>
      <c r="J50" s="95"/>
      <c r="K50" s="95">
        <v>1</v>
      </c>
      <c r="L50" s="95">
        <v>1</v>
      </c>
      <c r="M50" s="95">
        <v>1</v>
      </c>
      <c r="N50" s="95"/>
      <c r="O50" s="95">
        <v>1</v>
      </c>
      <c r="P50" s="95">
        <v>1</v>
      </c>
      <c r="Q50" s="95"/>
      <c r="R50" s="95"/>
      <c r="S50" s="95">
        <v>1</v>
      </c>
      <c r="T50" s="95"/>
      <c r="U50" s="95">
        <v>1</v>
      </c>
      <c r="V50" s="74">
        <v>1</v>
      </c>
      <c r="W50" s="74"/>
      <c r="X50" s="74"/>
      <c r="Y50" s="74">
        <v>1</v>
      </c>
      <c r="Z50" s="74"/>
      <c r="AA50" s="74"/>
      <c r="AB50" s="74"/>
      <c r="AC50" s="74">
        <v>1</v>
      </c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>
        <v>1</v>
      </c>
      <c r="AO50" s="74"/>
      <c r="AP50" s="74"/>
      <c r="AQ50" s="74"/>
      <c r="AR50" s="74"/>
      <c r="AS50" s="74"/>
    </row>
    <row r="51" spans="1:45" ht="15.75" x14ac:dyDescent="0.25">
      <c r="A51" s="93">
        <v>39</v>
      </c>
      <c r="B51" s="72" t="s">
        <v>91</v>
      </c>
      <c r="C51" s="94">
        <v>2</v>
      </c>
      <c r="D51" s="95">
        <v>1</v>
      </c>
      <c r="E51" s="95">
        <v>1</v>
      </c>
      <c r="F51" s="95"/>
      <c r="G51" s="95">
        <v>5</v>
      </c>
      <c r="H51" s="95">
        <v>1</v>
      </c>
      <c r="I51" s="95">
        <v>1</v>
      </c>
      <c r="J51" s="95"/>
      <c r="K51" s="95">
        <v>1</v>
      </c>
      <c r="L51" s="95">
        <v>1</v>
      </c>
      <c r="M51" s="95">
        <v>1</v>
      </c>
      <c r="N51" s="95"/>
      <c r="O51" s="95">
        <v>1</v>
      </c>
      <c r="P51" s="95">
        <v>1</v>
      </c>
      <c r="Q51" s="95"/>
      <c r="R51" s="95"/>
      <c r="S51" s="95">
        <v>1</v>
      </c>
      <c r="T51" s="95"/>
      <c r="U51" s="95">
        <v>1</v>
      </c>
      <c r="V51" s="74">
        <v>1</v>
      </c>
      <c r="W51" s="74"/>
      <c r="X51" s="74"/>
      <c r="Y51" s="74">
        <v>1</v>
      </c>
      <c r="Z51" s="74"/>
      <c r="AA51" s="74"/>
      <c r="AB51" s="74"/>
      <c r="AC51" s="74">
        <v>1</v>
      </c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>
        <v>1</v>
      </c>
      <c r="AO51" s="74"/>
      <c r="AP51" s="74"/>
      <c r="AQ51" s="74">
        <v>20</v>
      </c>
      <c r="AR51" s="74"/>
      <c r="AS51" s="74"/>
    </row>
    <row r="52" spans="1:45" ht="18.75" x14ac:dyDescent="0.25">
      <c r="A52" s="25"/>
      <c r="B52" s="43" t="s">
        <v>1</v>
      </c>
      <c r="C52" s="34">
        <f t="shared" ref="C52:AS52" si="0">SUM(C13:C51)</f>
        <v>78</v>
      </c>
      <c r="D52" s="34">
        <f t="shared" si="0"/>
        <v>39</v>
      </c>
      <c r="E52" s="34">
        <f t="shared" si="0"/>
        <v>39</v>
      </c>
      <c r="F52" s="34">
        <f t="shared" si="0"/>
        <v>0</v>
      </c>
      <c r="G52" s="34">
        <f t="shared" si="0"/>
        <v>195</v>
      </c>
      <c r="H52" s="34">
        <f t="shared" si="0"/>
        <v>39</v>
      </c>
      <c r="I52" s="34">
        <f t="shared" si="0"/>
        <v>39</v>
      </c>
      <c r="J52" s="34">
        <f t="shared" si="0"/>
        <v>0</v>
      </c>
      <c r="K52" s="34">
        <f t="shared" si="0"/>
        <v>39</v>
      </c>
      <c r="L52" s="34">
        <f t="shared" si="0"/>
        <v>39</v>
      </c>
      <c r="M52" s="34">
        <f t="shared" si="0"/>
        <v>39</v>
      </c>
      <c r="N52" s="34">
        <f t="shared" si="0"/>
        <v>0</v>
      </c>
      <c r="O52" s="34">
        <f t="shared" si="0"/>
        <v>39</v>
      </c>
      <c r="P52" s="34">
        <f t="shared" si="0"/>
        <v>39</v>
      </c>
      <c r="Q52" s="34">
        <f t="shared" si="0"/>
        <v>0</v>
      </c>
      <c r="R52" s="34">
        <f t="shared" si="0"/>
        <v>0</v>
      </c>
      <c r="S52" s="34">
        <f t="shared" si="0"/>
        <v>39</v>
      </c>
      <c r="T52" s="34">
        <f t="shared" si="0"/>
        <v>0</v>
      </c>
      <c r="U52" s="34">
        <f t="shared" si="0"/>
        <v>39</v>
      </c>
      <c r="V52" s="34">
        <f t="shared" si="0"/>
        <v>39</v>
      </c>
      <c r="W52" s="34">
        <f t="shared" si="0"/>
        <v>0</v>
      </c>
      <c r="X52" s="34">
        <f t="shared" si="0"/>
        <v>0</v>
      </c>
      <c r="Y52" s="34">
        <f t="shared" si="0"/>
        <v>39</v>
      </c>
      <c r="Z52" s="34">
        <f t="shared" si="0"/>
        <v>0</v>
      </c>
      <c r="AA52" s="34">
        <f t="shared" si="0"/>
        <v>0</v>
      </c>
      <c r="AB52" s="34">
        <f t="shared" si="0"/>
        <v>0</v>
      </c>
      <c r="AC52" s="34">
        <f t="shared" si="0"/>
        <v>39</v>
      </c>
      <c r="AD52" s="34">
        <f t="shared" si="0"/>
        <v>0</v>
      </c>
      <c r="AE52" s="34">
        <f t="shared" si="0"/>
        <v>0</v>
      </c>
      <c r="AF52" s="34">
        <f t="shared" si="0"/>
        <v>0</v>
      </c>
      <c r="AG52" s="34">
        <f t="shared" si="0"/>
        <v>0</v>
      </c>
      <c r="AH52" s="34">
        <f t="shared" si="0"/>
        <v>0</v>
      </c>
      <c r="AI52" s="34">
        <f t="shared" si="0"/>
        <v>0</v>
      </c>
      <c r="AJ52" s="34">
        <f t="shared" si="0"/>
        <v>0</v>
      </c>
      <c r="AK52" s="34">
        <f t="shared" si="0"/>
        <v>0</v>
      </c>
      <c r="AL52" s="34">
        <f t="shared" si="0"/>
        <v>0</v>
      </c>
      <c r="AM52" s="34">
        <f t="shared" si="0"/>
        <v>0</v>
      </c>
      <c r="AN52" s="34">
        <f t="shared" si="0"/>
        <v>39</v>
      </c>
      <c r="AO52" s="34">
        <f t="shared" si="0"/>
        <v>0</v>
      </c>
      <c r="AP52" s="34">
        <f t="shared" si="0"/>
        <v>0</v>
      </c>
      <c r="AQ52" s="34">
        <f t="shared" si="0"/>
        <v>500</v>
      </c>
      <c r="AR52" s="34">
        <f t="shared" si="0"/>
        <v>0</v>
      </c>
      <c r="AS52" s="34">
        <f t="shared" si="0"/>
        <v>0</v>
      </c>
    </row>
    <row r="56" spans="1:45" ht="15.75" x14ac:dyDescent="0.25">
      <c r="B56" s="63" t="s">
        <v>291</v>
      </c>
      <c r="C56" s="64" t="s">
        <v>300</v>
      </c>
      <c r="I56" s="65"/>
      <c r="J56" s="65"/>
      <c r="K56" s="65"/>
      <c r="L56" s="65"/>
      <c r="M56" s="65"/>
      <c r="N56" s="65"/>
      <c r="O56" s="65"/>
      <c r="R56" s="66"/>
      <c r="S56" s="66"/>
      <c r="T56" s="66"/>
      <c r="U56" s="66"/>
      <c r="V56" s="66"/>
      <c r="W56" s="66"/>
      <c r="X56" s="66"/>
    </row>
    <row r="57" spans="1:45" ht="15.75" x14ac:dyDescent="0.25">
      <c r="C57"/>
      <c r="K57" s="67" t="s">
        <v>293</v>
      </c>
      <c r="U57" s="64" t="s">
        <v>292</v>
      </c>
    </row>
  </sheetData>
  <sheetProtection insertRows="0" deleteRows="0"/>
  <mergeCells count="7">
    <mergeCell ref="A10:A11"/>
    <mergeCell ref="B10:B11"/>
    <mergeCell ref="C10:AS10"/>
    <mergeCell ref="A6:AS6"/>
    <mergeCell ref="A7:AS7"/>
    <mergeCell ref="S8:T8"/>
    <mergeCell ref="U8:V8"/>
  </mergeCells>
  <conditionalFormatting sqref="B43">
    <cfRule type="duplicateValues" dxfId="132" priority="5"/>
    <cfRule type="duplicateValues" dxfId="131" priority="6"/>
  </conditionalFormatting>
  <conditionalFormatting sqref="B44">
    <cfRule type="duplicateValues" dxfId="130" priority="3"/>
    <cfRule type="duplicateValues" dxfId="129" priority="4"/>
  </conditionalFormatting>
  <conditionalFormatting sqref="B45">
    <cfRule type="duplicateValues" dxfId="128" priority="364"/>
    <cfRule type="duplicateValues" dxfId="127" priority="365"/>
  </conditionalFormatting>
  <conditionalFormatting sqref="B51 B13:B42">
    <cfRule type="duplicateValues" dxfId="126" priority="97"/>
    <cfRule type="duplicateValues" dxfId="125" priority="98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  <pageSetUpPr fitToPage="1"/>
  </sheetPr>
  <dimension ref="A10:AS60"/>
  <sheetViews>
    <sheetView view="pageBreakPreview" topLeftCell="A27" zoomScale="115" zoomScaleSheetLayoutView="115" workbookViewId="0">
      <selection activeCell="B17" sqref="B17:B54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290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 t="s">
        <v>288</v>
      </c>
      <c r="S12" s="112" t="str">
        <f>'Справочник-не смотрим!'!B1</f>
        <v>февраль</v>
      </c>
      <c r="T12" s="112"/>
      <c r="U12" s="112">
        <f>'Справочник-не смотрим!'!B2</f>
        <v>2026</v>
      </c>
      <c r="V12" s="112"/>
      <c r="W12" s="61" t="s">
        <v>289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'[1]ЗАЯВКА-не смотрим!'!C4</f>
        <v>бут.</v>
      </c>
      <c r="D16" s="4" t="str">
        <f>'[1]ЗАЯВКА-не смотрим!'!C5</f>
        <v>шт.</v>
      </c>
      <c r="E16" s="4" t="str">
        <f>'[1]ЗАЯВКА-не смотрим!'!C6</f>
        <v>упак.</v>
      </c>
      <c r="F16" s="4" t="str">
        <f>'[1]ЗАЯВКА-не смотрим!'!C7</f>
        <v>упак.</v>
      </c>
      <c r="G16" s="4" t="str">
        <f>'[1]ЗАЯВКА-не смотрим!'!C8</f>
        <v>шт.</v>
      </c>
      <c r="H16" s="4" t="str">
        <f>'[1]ЗАЯВКА-не смотрим!'!C9</f>
        <v>шт.</v>
      </c>
      <c r="I16" s="4" t="str">
        <f>'[1]ЗАЯВКА-не смотрим!'!C10</f>
        <v>шт.</v>
      </c>
      <c r="J16" s="4" t="str">
        <f>'[1]ЗАЯВКА-не смотрим!'!C11</f>
        <v>упак.</v>
      </c>
      <c r="K16" s="4" t="str">
        <f>'[1]ЗАЯВКА-не смотрим!'!C12</f>
        <v>шт.</v>
      </c>
      <c r="L16" s="4" t="str">
        <f>'[1]ЗАЯВКА-не смотрим!'!C13</f>
        <v>шт.</v>
      </c>
      <c r="M16" s="4" t="str">
        <f>'[1]ЗАЯВКА-не смотрим!'!C14</f>
        <v>упак.</v>
      </c>
      <c r="N16" s="4" t="str">
        <f>'[1]ЗАЯВКА-не смотрим!'!C15</f>
        <v>шт.</v>
      </c>
      <c r="O16" s="4" t="str">
        <f>'[1]ЗАЯВКА-не смотрим!'!C16</f>
        <v>шт.</v>
      </c>
      <c r="P16" s="4" t="str">
        <f>'[1]ЗАЯВКА-не смотрим!'!C17</f>
        <v>шт.</v>
      </c>
      <c r="Q16" s="4" t="str">
        <f>'[1]ЗАЯВКА-не смотрим!'!C18</f>
        <v>шт.</v>
      </c>
      <c r="R16" s="4" t="str">
        <f>'[1]ЗАЯВКА-не смотрим!'!C19</f>
        <v>упак.</v>
      </c>
      <c r="S16" s="4" t="str">
        <f>'[1]ЗАЯВКА-не смотрим!'!C20</f>
        <v>упак.</v>
      </c>
      <c r="T16" s="4" t="str">
        <f>'[1]ЗАЯВКА-не смотрим!'!C21</f>
        <v>шт.</v>
      </c>
      <c r="U16" s="4" t="str">
        <f>'[1]ЗАЯВКА-не смотрим!'!C22</f>
        <v>упак.</v>
      </c>
      <c r="V16" s="4" t="str">
        <f>'[1]ЗАЯВКА-не смотрим!'!C23</f>
        <v>упак.</v>
      </c>
      <c r="W16" s="4" t="str">
        <f>'[1]ЗАЯВКА-не смотрим!'!C24</f>
        <v>шт.</v>
      </c>
      <c r="X16" s="4" t="str">
        <f>'[1]ЗАЯВКА-не смотрим!'!C25</f>
        <v>шт.</v>
      </c>
      <c r="Y16" s="4" t="str">
        <f>'[1]ЗАЯВКА-не смотрим!'!C26</f>
        <v>шт.</v>
      </c>
      <c r="Z16" s="4" t="str">
        <f>'[1]ЗАЯВКА-не смотрим!'!C27</f>
        <v>упак.</v>
      </c>
      <c r="AA16" s="4" t="str">
        <f>'[1]ЗАЯВКА-не смотрим!'!C28</f>
        <v>упак.</v>
      </c>
      <c r="AB16" s="4" t="str">
        <f>'[1]ЗАЯВКА-не смотрим!'!C29</f>
        <v>упак.</v>
      </c>
      <c r="AC16" s="4" t="str">
        <f>'[1]ЗАЯВКА-не смотрим!'!C30</f>
        <v>шт.</v>
      </c>
      <c r="AD16" s="4" t="str">
        <f>'[1]ЗАЯВКА-не смотрим!'!C31</f>
        <v>упак.</v>
      </c>
      <c r="AE16" s="4" t="str">
        <f>'[1]ЗАЯВКА-не смотрим!'!C32</f>
        <v>упак.</v>
      </c>
      <c r="AF16" s="4" t="str">
        <f>'[1]ЗАЯВКА-не смотрим!'!C33</f>
        <v>упак.</v>
      </c>
      <c r="AG16" s="4" t="str">
        <f>'[1]ЗАЯВКА-не смотрим!'!C34</f>
        <v>шт.</v>
      </c>
      <c r="AH16" s="4" t="str">
        <f>'[1]ЗАЯВКА-не смотрим!'!C35</f>
        <v>шт.</v>
      </c>
      <c r="AI16" s="4" t="str">
        <f>'[1]ЗАЯВКА-не смотрим!'!C36</f>
        <v>шт.</v>
      </c>
      <c r="AJ16" s="4" t="str">
        <f>'[1]ЗАЯВКА-не смотрим!'!C37</f>
        <v>шт.</v>
      </c>
      <c r="AK16" s="4" t="str">
        <f>'[1]ЗАЯВКА-не смотрим!'!C38</f>
        <v>упак.</v>
      </c>
      <c r="AL16" s="4" t="str">
        <f>'[1]ЗАЯВКА-не смотрим!'!C39</f>
        <v>шт.</v>
      </c>
      <c r="AM16" s="4" t="str">
        <f>'[1]ЗАЯВКА-не смотрим!'!C40</f>
        <v>упак.</v>
      </c>
      <c r="AN16" s="4" t="str">
        <f>'[1]ЗАЯВКА-не смотрим!'!C41</f>
        <v>упак.</v>
      </c>
      <c r="AO16" s="4" t="str">
        <f>'[1]ЗАЯВКА-не смотрим!'!C42</f>
        <v>шт.</v>
      </c>
      <c r="AP16" s="4" t="str">
        <f>'[1]ЗАЯВКА-не смотрим!'!C43</f>
        <v>шт.</v>
      </c>
      <c r="AQ16" s="4" t="str">
        <f>'[1]ЗАЯВКА-не смотрим!'!C44</f>
        <v>пач.</v>
      </c>
      <c r="AR16" s="4" t="str">
        <f>'[1]ЗАЯВКА-не смотрим!'!C45</f>
        <v>шт.</v>
      </c>
      <c r="AS16" s="4" t="str">
        <f>'[1]ЗАЯВКА-не смотрим!'!C46</f>
        <v>шт.</v>
      </c>
    </row>
    <row r="17" spans="1:45" ht="15.75" x14ac:dyDescent="0.25">
      <c r="A17" s="38">
        <v>1</v>
      </c>
      <c r="B17" s="41" t="s">
        <v>459</v>
      </c>
      <c r="C17" s="75">
        <v>2</v>
      </c>
      <c r="D17" s="76">
        <v>1</v>
      </c>
      <c r="E17" s="76">
        <v>1</v>
      </c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>
        <v>1</v>
      </c>
      <c r="N17" s="76"/>
      <c r="O17" s="76"/>
      <c r="P17" s="76">
        <v>1</v>
      </c>
      <c r="Q17" s="76"/>
      <c r="R17" s="76"/>
      <c r="S17" s="76">
        <v>1</v>
      </c>
      <c r="T17" s="76"/>
      <c r="U17" s="76"/>
      <c r="V17" s="49"/>
      <c r="W17" s="49"/>
      <c r="X17" s="49"/>
      <c r="Y17" s="49">
        <v>1</v>
      </c>
      <c r="Z17" s="49"/>
      <c r="AA17" s="49"/>
      <c r="AB17" s="49"/>
      <c r="AC17" s="49">
        <v>1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>
        <v>1</v>
      </c>
      <c r="AO17" s="49"/>
      <c r="AP17" s="49"/>
      <c r="AQ17" s="49">
        <v>10</v>
      </c>
      <c r="AR17" s="49"/>
      <c r="AS17" s="49"/>
    </row>
    <row r="18" spans="1:45" ht="15.75" x14ac:dyDescent="0.25">
      <c r="A18" s="38">
        <v>2</v>
      </c>
      <c r="B18" s="41" t="s">
        <v>74</v>
      </c>
      <c r="C18" s="75">
        <v>2</v>
      </c>
      <c r="D18" s="76">
        <v>1</v>
      </c>
      <c r="E18" s="76">
        <v>1</v>
      </c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>
        <v>1</v>
      </c>
      <c r="N18" s="76"/>
      <c r="O18" s="76"/>
      <c r="P18" s="76">
        <v>1</v>
      </c>
      <c r="Q18" s="76"/>
      <c r="R18" s="76"/>
      <c r="S18" s="76">
        <v>1</v>
      </c>
      <c r="T18" s="76"/>
      <c r="U18" s="76"/>
      <c r="V18" s="49"/>
      <c r="W18" s="49"/>
      <c r="X18" s="49"/>
      <c r="Y18" s="49">
        <v>1</v>
      </c>
      <c r="Z18" s="49"/>
      <c r="AA18" s="49"/>
      <c r="AB18" s="49"/>
      <c r="AC18" s="49">
        <v>1</v>
      </c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>
        <v>1</v>
      </c>
      <c r="AO18" s="49"/>
      <c r="AP18" s="49"/>
      <c r="AQ18" s="49">
        <v>10</v>
      </c>
      <c r="AR18" s="49"/>
      <c r="AS18" s="49"/>
    </row>
    <row r="19" spans="1:45" ht="15.75" x14ac:dyDescent="0.25">
      <c r="A19" s="38">
        <v>3</v>
      </c>
      <c r="B19" s="41" t="s">
        <v>350</v>
      </c>
      <c r="C19" s="75">
        <v>2</v>
      </c>
      <c r="D19" s="76">
        <v>1</v>
      </c>
      <c r="E19" s="76">
        <v>1</v>
      </c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>
        <v>1</v>
      </c>
      <c r="N19" s="76"/>
      <c r="O19" s="76"/>
      <c r="P19" s="76">
        <v>1</v>
      </c>
      <c r="Q19" s="76"/>
      <c r="R19" s="76"/>
      <c r="S19" s="76">
        <v>1</v>
      </c>
      <c r="T19" s="76"/>
      <c r="U19" s="76"/>
      <c r="V19" s="49"/>
      <c r="W19" s="49"/>
      <c r="X19" s="49"/>
      <c r="Y19" s="49">
        <v>1</v>
      </c>
      <c r="Z19" s="49"/>
      <c r="AA19" s="49"/>
      <c r="AB19" s="49"/>
      <c r="AC19" s="49">
        <v>1</v>
      </c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>
        <v>1</v>
      </c>
      <c r="AO19" s="49"/>
      <c r="AP19" s="49"/>
      <c r="AQ19" s="49"/>
      <c r="AR19" s="49"/>
      <c r="AS19" s="49"/>
    </row>
    <row r="20" spans="1:45" ht="15.75" x14ac:dyDescent="0.25">
      <c r="A20" s="38">
        <v>4</v>
      </c>
      <c r="B20" s="72" t="s">
        <v>71</v>
      </c>
      <c r="C20" s="75">
        <v>2</v>
      </c>
      <c r="D20" s="76">
        <v>1</v>
      </c>
      <c r="E20" s="76">
        <v>1</v>
      </c>
      <c r="F20" s="76"/>
      <c r="G20" s="76">
        <v>5</v>
      </c>
      <c r="H20" s="76">
        <v>1</v>
      </c>
      <c r="I20" s="76">
        <v>1</v>
      </c>
      <c r="J20" s="76"/>
      <c r="K20" s="76">
        <v>1</v>
      </c>
      <c r="L20" s="76">
        <v>1</v>
      </c>
      <c r="M20" s="76">
        <v>1</v>
      </c>
      <c r="N20" s="76"/>
      <c r="O20" s="76"/>
      <c r="P20" s="76">
        <v>1</v>
      </c>
      <c r="Q20" s="76"/>
      <c r="R20" s="76"/>
      <c r="S20" s="76">
        <v>1</v>
      </c>
      <c r="T20" s="76"/>
      <c r="U20" s="76"/>
      <c r="V20" s="49"/>
      <c r="W20" s="49"/>
      <c r="X20" s="49"/>
      <c r="Y20" s="49">
        <v>1</v>
      </c>
      <c r="Z20" s="49"/>
      <c r="AA20" s="49"/>
      <c r="AB20" s="49"/>
      <c r="AC20" s="49">
        <v>1</v>
      </c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>
        <v>1</v>
      </c>
      <c r="AO20" s="49"/>
      <c r="AP20" s="49"/>
      <c r="AQ20" s="49">
        <v>10</v>
      </c>
      <c r="AR20" s="49"/>
      <c r="AS20" s="49"/>
    </row>
    <row r="21" spans="1:45" ht="15.75" x14ac:dyDescent="0.25">
      <c r="A21" s="38">
        <v>5</v>
      </c>
      <c r="B21" s="72" t="s">
        <v>68</v>
      </c>
      <c r="C21" s="75">
        <v>2</v>
      </c>
      <c r="D21" s="76">
        <v>1</v>
      </c>
      <c r="E21" s="76">
        <v>1</v>
      </c>
      <c r="F21" s="76"/>
      <c r="G21" s="76">
        <v>5</v>
      </c>
      <c r="H21" s="76">
        <v>1</v>
      </c>
      <c r="I21" s="76">
        <v>1</v>
      </c>
      <c r="J21" s="76"/>
      <c r="K21" s="76">
        <v>1</v>
      </c>
      <c r="L21" s="76">
        <v>1</v>
      </c>
      <c r="M21" s="76">
        <v>1</v>
      </c>
      <c r="N21" s="76"/>
      <c r="O21" s="76"/>
      <c r="P21" s="76">
        <v>1</v>
      </c>
      <c r="Q21" s="76"/>
      <c r="R21" s="76"/>
      <c r="S21" s="76">
        <v>1</v>
      </c>
      <c r="T21" s="76"/>
      <c r="U21" s="76"/>
      <c r="V21" s="49"/>
      <c r="W21" s="49"/>
      <c r="X21" s="49"/>
      <c r="Y21" s="49">
        <v>1</v>
      </c>
      <c r="Z21" s="49"/>
      <c r="AA21" s="49"/>
      <c r="AB21" s="49"/>
      <c r="AC21" s="49">
        <v>1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>
        <v>1</v>
      </c>
      <c r="AO21" s="49"/>
      <c r="AP21" s="49"/>
      <c r="AQ21" s="49">
        <v>10</v>
      </c>
      <c r="AR21" s="49"/>
      <c r="AS21" s="49"/>
    </row>
    <row r="22" spans="1:45" ht="15.75" x14ac:dyDescent="0.25">
      <c r="A22" s="38">
        <v>6</v>
      </c>
      <c r="B22" s="72" t="s">
        <v>441</v>
      </c>
      <c r="C22" s="75">
        <v>2</v>
      </c>
      <c r="D22" s="76">
        <v>1</v>
      </c>
      <c r="E22" s="76">
        <v>1</v>
      </c>
      <c r="F22" s="76"/>
      <c r="G22" s="76">
        <v>5</v>
      </c>
      <c r="H22" s="76">
        <v>1</v>
      </c>
      <c r="I22" s="76">
        <v>1</v>
      </c>
      <c r="J22" s="76"/>
      <c r="K22" s="76">
        <v>1</v>
      </c>
      <c r="L22" s="76">
        <v>1</v>
      </c>
      <c r="M22" s="76">
        <v>1</v>
      </c>
      <c r="N22" s="76"/>
      <c r="O22" s="76"/>
      <c r="P22" s="76">
        <v>1</v>
      </c>
      <c r="Q22" s="76"/>
      <c r="R22" s="76"/>
      <c r="S22" s="76">
        <v>1</v>
      </c>
      <c r="T22" s="76"/>
      <c r="U22" s="76"/>
      <c r="V22" s="49"/>
      <c r="W22" s="49"/>
      <c r="X22" s="49"/>
      <c r="Y22" s="49">
        <v>1</v>
      </c>
      <c r="Z22" s="49"/>
      <c r="AA22" s="49"/>
      <c r="AB22" s="49"/>
      <c r="AC22" s="49">
        <v>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>
        <v>1</v>
      </c>
      <c r="AO22" s="49"/>
      <c r="AP22" s="49"/>
      <c r="AQ22" s="49">
        <v>10</v>
      </c>
      <c r="AR22" s="49"/>
      <c r="AS22" s="49"/>
    </row>
    <row r="23" spans="1:45" ht="15.75" x14ac:dyDescent="0.25">
      <c r="A23" s="38">
        <v>7</v>
      </c>
      <c r="B23" s="72" t="s">
        <v>408</v>
      </c>
      <c r="C23" s="75">
        <v>2</v>
      </c>
      <c r="D23" s="76">
        <v>1</v>
      </c>
      <c r="E23" s="76">
        <v>1</v>
      </c>
      <c r="F23" s="76"/>
      <c r="G23" s="76">
        <v>5</v>
      </c>
      <c r="H23" s="76">
        <v>1</v>
      </c>
      <c r="I23" s="76">
        <v>1</v>
      </c>
      <c r="J23" s="76"/>
      <c r="K23" s="76">
        <v>1</v>
      </c>
      <c r="L23" s="76">
        <v>1</v>
      </c>
      <c r="M23" s="76">
        <v>1</v>
      </c>
      <c r="N23" s="76"/>
      <c r="O23" s="76"/>
      <c r="P23" s="76">
        <v>1</v>
      </c>
      <c r="Q23" s="76"/>
      <c r="R23" s="76"/>
      <c r="S23" s="76">
        <v>1</v>
      </c>
      <c r="T23" s="76"/>
      <c r="U23" s="76"/>
      <c r="V23" s="49"/>
      <c r="W23" s="49"/>
      <c r="X23" s="49"/>
      <c r="Y23" s="49">
        <v>1</v>
      </c>
      <c r="Z23" s="49"/>
      <c r="AA23" s="49"/>
      <c r="AB23" s="49"/>
      <c r="AC23" s="49">
        <v>1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>
        <v>1</v>
      </c>
      <c r="AO23" s="49"/>
      <c r="AP23" s="49"/>
      <c r="AQ23" s="49"/>
      <c r="AR23" s="49"/>
      <c r="AS23" s="49"/>
    </row>
    <row r="24" spans="1:45" ht="15.75" x14ac:dyDescent="0.25">
      <c r="A24" s="38">
        <v>8</v>
      </c>
      <c r="B24" s="72" t="s">
        <v>460</v>
      </c>
      <c r="C24" s="75">
        <v>2</v>
      </c>
      <c r="D24" s="76">
        <v>1</v>
      </c>
      <c r="E24" s="76">
        <v>1</v>
      </c>
      <c r="F24" s="76"/>
      <c r="G24" s="76">
        <v>5</v>
      </c>
      <c r="H24" s="76">
        <v>1</v>
      </c>
      <c r="I24" s="76">
        <v>1</v>
      </c>
      <c r="J24" s="76"/>
      <c r="K24" s="76">
        <v>1</v>
      </c>
      <c r="L24" s="76">
        <v>1</v>
      </c>
      <c r="M24" s="76">
        <v>1</v>
      </c>
      <c r="N24" s="76"/>
      <c r="O24" s="76"/>
      <c r="P24" s="76">
        <v>1</v>
      </c>
      <c r="Q24" s="76"/>
      <c r="R24" s="76"/>
      <c r="S24" s="76">
        <v>1</v>
      </c>
      <c r="T24" s="76"/>
      <c r="U24" s="76"/>
      <c r="V24" s="49"/>
      <c r="W24" s="49"/>
      <c r="X24" s="49"/>
      <c r="Y24" s="49">
        <v>1</v>
      </c>
      <c r="Z24" s="49"/>
      <c r="AA24" s="49"/>
      <c r="AB24" s="49"/>
      <c r="AC24" s="49">
        <v>1</v>
      </c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>
        <v>1</v>
      </c>
      <c r="AO24" s="49"/>
      <c r="AP24" s="49"/>
      <c r="AQ24" s="49">
        <v>10</v>
      </c>
      <c r="AR24" s="49"/>
      <c r="AS24" s="49"/>
    </row>
    <row r="25" spans="1:45" ht="15.75" x14ac:dyDescent="0.25">
      <c r="A25" s="38">
        <v>9</v>
      </c>
      <c r="B25" s="72" t="s">
        <v>461</v>
      </c>
      <c r="C25" s="75">
        <v>2</v>
      </c>
      <c r="D25" s="76">
        <v>1</v>
      </c>
      <c r="E25" s="76">
        <v>1</v>
      </c>
      <c r="F25" s="76"/>
      <c r="G25" s="76">
        <v>5</v>
      </c>
      <c r="H25" s="76">
        <v>1</v>
      </c>
      <c r="I25" s="76">
        <v>1</v>
      </c>
      <c r="J25" s="76"/>
      <c r="K25" s="76">
        <v>1</v>
      </c>
      <c r="L25" s="76">
        <v>1</v>
      </c>
      <c r="M25" s="76">
        <v>1</v>
      </c>
      <c r="N25" s="76"/>
      <c r="O25" s="76"/>
      <c r="P25" s="76">
        <v>1</v>
      </c>
      <c r="Q25" s="76"/>
      <c r="R25" s="76"/>
      <c r="S25" s="76">
        <v>1</v>
      </c>
      <c r="T25" s="76"/>
      <c r="U25" s="76"/>
      <c r="V25" s="49"/>
      <c r="W25" s="49"/>
      <c r="X25" s="49"/>
      <c r="Y25" s="49">
        <v>1</v>
      </c>
      <c r="Z25" s="49"/>
      <c r="AA25" s="49"/>
      <c r="AB25" s="49"/>
      <c r="AC25" s="49">
        <v>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>
        <v>1</v>
      </c>
      <c r="AO25" s="49"/>
      <c r="AP25" s="49"/>
      <c r="AQ25" s="49">
        <v>10</v>
      </c>
      <c r="AR25" s="49"/>
      <c r="AS25" s="49"/>
    </row>
    <row r="26" spans="1:45" ht="15.75" x14ac:dyDescent="0.25">
      <c r="A26" s="38">
        <v>10</v>
      </c>
      <c r="B26" s="72" t="s">
        <v>462</v>
      </c>
      <c r="C26" s="75">
        <v>2</v>
      </c>
      <c r="D26" s="76">
        <v>1</v>
      </c>
      <c r="E26" s="76">
        <v>1</v>
      </c>
      <c r="F26" s="76"/>
      <c r="G26" s="76">
        <v>5</v>
      </c>
      <c r="H26" s="76">
        <v>1</v>
      </c>
      <c r="I26" s="76">
        <v>1</v>
      </c>
      <c r="J26" s="76"/>
      <c r="K26" s="76">
        <v>1</v>
      </c>
      <c r="L26" s="76">
        <v>1</v>
      </c>
      <c r="M26" s="76">
        <v>1</v>
      </c>
      <c r="N26" s="76"/>
      <c r="O26" s="76"/>
      <c r="P26" s="76">
        <v>1</v>
      </c>
      <c r="Q26" s="76"/>
      <c r="R26" s="76"/>
      <c r="S26" s="76">
        <v>1</v>
      </c>
      <c r="T26" s="76"/>
      <c r="U26" s="76"/>
      <c r="V26" s="49"/>
      <c r="W26" s="49"/>
      <c r="X26" s="49"/>
      <c r="Y26" s="49">
        <v>1</v>
      </c>
      <c r="Z26" s="49"/>
      <c r="AA26" s="49"/>
      <c r="AB26" s="49"/>
      <c r="AC26" s="49">
        <v>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>
        <v>1</v>
      </c>
      <c r="AO26" s="49"/>
      <c r="AP26" s="49"/>
      <c r="AQ26" s="49">
        <v>10</v>
      </c>
      <c r="AR26" s="49"/>
      <c r="AS26" s="49"/>
    </row>
    <row r="27" spans="1:45" ht="15.75" x14ac:dyDescent="0.25">
      <c r="A27" s="38">
        <v>11</v>
      </c>
      <c r="B27" s="72" t="s">
        <v>463</v>
      </c>
      <c r="C27" s="75">
        <v>2</v>
      </c>
      <c r="D27" s="76">
        <v>1</v>
      </c>
      <c r="E27" s="76">
        <v>1</v>
      </c>
      <c r="F27" s="76"/>
      <c r="G27" s="76">
        <v>5</v>
      </c>
      <c r="H27" s="76">
        <v>1</v>
      </c>
      <c r="I27" s="76">
        <v>1</v>
      </c>
      <c r="J27" s="76"/>
      <c r="K27" s="76">
        <v>1</v>
      </c>
      <c r="L27" s="76">
        <v>1</v>
      </c>
      <c r="M27" s="76">
        <v>1</v>
      </c>
      <c r="N27" s="76"/>
      <c r="O27" s="76"/>
      <c r="P27" s="76">
        <v>1</v>
      </c>
      <c r="Q27" s="76"/>
      <c r="R27" s="76"/>
      <c r="S27" s="76">
        <v>1</v>
      </c>
      <c r="T27" s="76"/>
      <c r="U27" s="76"/>
      <c r="V27" s="49"/>
      <c r="W27" s="49"/>
      <c r="X27" s="49"/>
      <c r="Y27" s="49">
        <v>1</v>
      </c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>
        <v>1</v>
      </c>
      <c r="AO27" s="49"/>
      <c r="AP27" s="49"/>
      <c r="AQ27" s="49">
        <v>10</v>
      </c>
      <c r="AR27" s="49"/>
      <c r="AS27" s="49"/>
    </row>
    <row r="28" spans="1:45" ht="15.75" x14ac:dyDescent="0.25">
      <c r="A28" s="38">
        <v>12</v>
      </c>
      <c r="B28" s="72" t="s">
        <v>464</v>
      </c>
      <c r="C28" s="75">
        <v>2</v>
      </c>
      <c r="D28" s="76">
        <v>1</v>
      </c>
      <c r="E28" s="76">
        <v>1</v>
      </c>
      <c r="F28" s="76"/>
      <c r="G28" s="76">
        <v>5</v>
      </c>
      <c r="H28" s="76">
        <v>1</v>
      </c>
      <c r="I28" s="76">
        <v>1</v>
      </c>
      <c r="J28" s="76"/>
      <c r="K28" s="76">
        <v>1</v>
      </c>
      <c r="L28" s="76">
        <v>1</v>
      </c>
      <c r="M28" s="76">
        <v>1</v>
      </c>
      <c r="N28" s="76"/>
      <c r="O28" s="76"/>
      <c r="P28" s="76">
        <v>1</v>
      </c>
      <c r="Q28" s="76"/>
      <c r="R28" s="76"/>
      <c r="S28" s="76">
        <v>1</v>
      </c>
      <c r="T28" s="76"/>
      <c r="U28" s="76"/>
      <c r="V28" s="49"/>
      <c r="W28" s="49"/>
      <c r="X28" s="49"/>
      <c r="Y28" s="49">
        <v>1</v>
      </c>
      <c r="Z28" s="49"/>
      <c r="AA28" s="49"/>
      <c r="AB28" s="49"/>
      <c r="AC28" s="49">
        <v>1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>
        <v>1</v>
      </c>
      <c r="AO28" s="49"/>
      <c r="AP28" s="49"/>
      <c r="AQ28" s="49">
        <v>10</v>
      </c>
      <c r="AR28" s="49"/>
      <c r="AS28" s="49"/>
    </row>
    <row r="29" spans="1:45" ht="15.75" x14ac:dyDescent="0.25">
      <c r="A29" s="38">
        <v>13</v>
      </c>
      <c r="B29" s="72" t="s">
        <v>465</v>
      </c>
      <c r="C29" s="75">
        <v>2</v>
      </c>
      <c r="D29" s="76">
        <v>1</v>
      </c>
      <c r="E29" s="76">
        <v>1</v>
      </c>
      <c r="F29" s="76"/>
      <c r="G29" s="76">
        <v>5</v>
      </c>
      <c r="H29" s="76">
        <v>1</v>
      </c>
      <c r="I29" s="76">
        <v>1</v>
      </c>
      <c r="J29" s="76"/>
      <c r="K29" s="76">
        <v>1</v>
      </c>
      <c r="L29" s="76">
        <v>1</v>
      </c>
      <c r="M29" s="76">
        <v>1</v>
      </c>
      <c r="N29" s="76"/>
      <c r="O29" s="76"/>
      <c r="P29" s="76">
        <v>1</v>
      </c>
      <c r="Q29" s="76"/>
      <c r="R29" s="76"/>
      <c r="S29" s="76">
        <v>1</v>
      </c>
      <c r="T29" s="76"/>
      <c r="U29" s="76"/>
      <c r="V29" s="49"/>
      <c r="W29" s="49"/>
      <c r="X29" s="49"/>
      <c r="Y29" s="49">
        <v>1</v>
      </c>
      <c r="Z29" s="49"/>
      <c r="AA29" s="49"/>
      <c r="AB29" s="49"/>
      <c r="AC29" s="49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>
        <v>1</v>
      </c>
      <c r="AO29" s="49"/>
      <c r="AP29" s="49"/>
      <c r="AQ29" s="49">
        <v>10</v>
      </c>
      <c r="AR29" s="49"/>
      <c r="AS29" s="49"/>
    </row>
    <row r="30" spans="1:45" ht="15.75" x14ac:dyDescent="0.25">
      <c r="A30" s="38">
        <v>14</v>
      </c>
      <c r="B30" s="72" t="s">
        <v>466</v>
      </c>
      <c r="C30" s="75">
        <v>2</v>
      </c>
      <c r="D30" s="76">
        <v>1</v>
      </c>
      <c r="E30" s="76">
        <v>1</v>
      </c>
      <c r="F30" s="76"/>
      <c r="G30" s="76">
        <v>5</v>
      </c>
      <c r="H30" s="76">
        <v>1</v>
      </c>
      <c r="I30" s="76">
        <v>1</v>
      </c>
      <c r="J30" s="76"/>
      <c r="K30" s="76">
        <v>1</v>
      </c>
      <c r="L30" s="76">
        <v>1</v>
      </c>
      <c r="M30" s="76">
        <v>1</v>
      </c>
      <c r="N30" s="76"/>
      <c r="O30" s="76"/>
      <c r="P30" s="76">
        <v>1</v>
      </c>
      <c r="Q30" s="76"/>
      <c r="R30" s="76"/>
      <c r="S30" s="76">
        <v>1</v>
      </c>
      <c r="T30" s="76"/>
      <c r="U30" s="76"/>
      <c r="V30" s="49"/>
      <c r="W30" s="49"/>
      <c r="X30" s="49"/>
      <c r="Y30" s="49">
        <v>1</v>
      </c>
      <c r="Z30" s="49"/>
      <c r="AA30" s="49"/>
      <c r="AB30" s="49"/>
      <c r="AC30" s="49">
        <v>1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>
        <v>1</v>
      </c>
      <c r="AO30" s="49"/>
      <c r="AP30" s="49"/>
      <c r="AQ30" s="49">
        <v>10</v>
      </c>
      <c r="AR30" s="49"/>
      <c r="AS30" s="49"/>
    </row>
    <row r="31" spans="1:45" ht="15.75" x14ac:dyDescent="0.25">
      <c r="A31" s="38">
        <v>15</v>
      </c>
      <c r="B31" s="72" t="s">
        <v>467</v>
      </c>
      <c r="C31" s="75">
        <v>2</v>
      </c>
      <c r="D31" s="76">
        <v>1</v>
      </c>
      <c r="E31" s="76">
        <v>1</v>
      </c>
      <c r="F31" s="76"/>
      <c r="G31" s="76">
        <v>5</v>
      </c>
      <c r="H31" s="76">
        <v>1</v>
      </c>
      <c r="I31" s="76">
        <v>1</v>
      </c>
      <c r="J31" s="76"/>
      <c r="K31" s="76">
        <v>1</v>
      </c>
      <c r="L31" s="76">
        <v>1</v>
      </c>
      <c r="M31" s="76">
        <v>1</v>
      </c>
      <c r="N31" s="76"/>
      <c r="O31" s="76"/>
      <c r="P31" s="76">
        <v>1</v>
      </c>
      <c r="Q31" s="76"/>
      <c r="R31" s="76"/>
      <c r="S31" s="76">
        <v>1</v>
      </c>
      <c r="T31" s="76"/>
      <c r="U31" s="76"/>
      <c r="V31" s="49"/>
      <c r="W31" s="49"/>
      <c r="X31" s="49"/>
      <c r="Y31" s="49">
        <v>1</v>
      </c>
      <c r="Z31" s="49"/>
      <c r="AA31" s="49"/>
      <c r="AB31" s="49"/>
      <c r="AC31" s="49">
        <v>1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>
        <v>1</v>
      </c>
      <c r="AO31" s="49"/>
      <c r="AP31" s="49"/>
      <c r="AQ31" s="49">
        <v>10</v>
      </c>
      <c r="AR31" s="49"/>
      <c r="AS31" s="49"/>
    </row>
    <row r="32" spans="1:45" ht="15.75" x14ac:dyDescent="0.25">
      <c r="A32" s="38">
        <v>16</v>
      </c>
      <c r="B32" s="72" t="s">
        <v>468</v>
      </c>
      <c r="C32" s="75">
        <v>2</v>
      </c>
      <c r="D32" s="76">
        <v>1</v>
      </c>
      <c r="E32" s="76">
        <v>1</v>
      </c>
      <c r="F32" s="76"/>
      <c r="G32" s="76">
        <v>5</v>
      </c>
      <c r="H32" s="76">
        <v>1</v>
      </c>
      <c r="I32" s="76">
        <v>1</v>
      </c>
      <c r="J32" s="76"/>
      <c r="K32" s="76">
        <v>1</v>
      </c>
      <c r="L32" s="76">
        <v>1</v>
      </c>
      <c r="M32" s="76">
        <v>1</v>
      </c>
      <c r="N32" s="76"/>
      <c r="O32" s="76"/>
      <c r="P32" s="76">
        <v>1</v>
      </c>
      <c r="Q32" s="76"/>
      <c r="R32" s="76"/>
      <c r="S32" s="76">
        <v>1</v>
      </c>
      <c r="T32" s="76"/>
      <c r="U32" s="76"/>
      <c r="V32" s="49"/>
      <c r="W32" s="49"/>
      <c r="X32" s="49"/>
      <c r="Y32" s="49">
        <v>1</v>
      </c>
      <c r="Z32" s="49"/>
      <c r="AA32" s="49"/>
      <c r="AB32" s="49"/>
      <c r="AC32" s="49">
        <v>1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>
        <v>1</v>
      </c>
      <c r="AO32" s="49"/>
      <c r="AP32" s="49"/>
      <c r="AQ32" s="49">
        <v>10</v>
      </c>
      <c r="AR32" s="49"/>
      <c r="AS32" s="49"/>
    </row>
    <row r="33" spans="1:45" ht="15.75" x14ac:dyDescent="0.25">
      <c r="A33" s="38">
        <v>17</v>
      </c>
      <c r="B33" s="72" t="s">
        <v>469</v>
      </c>
      <c r="C33" s="75">
        <v>2</v>
      </c>
      <c r="D33" s="76">
        <v>1</v>
      </c>
      <c r="E33" s="76">
        <v>1</v>
      </c>
      <c r="F33" s="76"/>
      <c r="G33" s="76">
        <v>5</v>
      </c>
      <c r="H33" s="76">
        <v>1</v>
      </c>
      <c r="I33" s="76">
        <v>1</v>
      </c>
      <c r="J33" s="76"/>
      <c r="K33" s="76">
        <v>1</v>
      </c>
      <c r="L33" s="76">
        <v>1</v>
      </c>
      <c r="M33" s="76">
        <v>1</v>
      </c>
      <c r="N33" s="76"/>
      <c r="O33" s="76"/>
      <c r="P33" s="76">
        <v>1</v>
      </c>
      <c r="Q33" s="76"/>
      <c r="R33" s="76"/>
      <c r="S33" s="76">
        <v>1</v>
      </c>
      <c r="T33" s="76"/>
      <c r="U33" s="76"/>
      <c r="V33" s="49"/>
      <c r="W33" s="49"/>
      <c r="X33" s="49"/>
      <c r="Y33" s="49">
        <v>1</v>
      </c>
      <c r="Z33" s="49"/>
      <c r="AA33" s="49"/>
      <c r="AB33" s="49"/>
      <c r="AC33" s="49">
        <v>1</v>
      </c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>
        <v>1</v>
      </c>
      <c r="AO33" s="49"/>
      <c r="AP33" s="49"/>
      <c r="AQ33" s="49">
        <v>10</v>
      </c>
      <c r="AR33" s="49"/>
      <c r="AS33" s="49"/>
    </row>
    <row r="34" spans="1:45" ht="15.75" x14ac:dyDescent="0.25">
      <c r="A34" s="38">
        <v>18</v>
      </c>
      <c r="B34" s="72" t="s">
        <v>470</v>
      </c>
      <c r="C34" s="75">
        <v>2</v>
      </c>
      <c r="D34" s="76">
        <v>1</v>
      </c>
      <c r="E34" s="76">
        <v>1</v>
      </c>
      <c r="F34" s="76"/>
      <c r="G34" s="76">
        <v>5</v>
      </c>
      <c r="H34" s="76">
        <v>1</v>
      </c>
      <c r="I34" s="76">
        <v>1</v>
      </c>
      <c r="J34" s="76"/>
      <c r="K34" s="76">
        <v>1</v>
      </c>
      <c r="L34" s="76">
        <v>1</v>
      </c>
      <c r="M34" s="76">
        <v>1</v>
      </c>
      <c r="N34" s="76"/>
      <c r="O34" s="76"/>
      <c r="P34" s="76">
        <v>1</v>
      </c>
      <c r="Q34" s="76"/>
      <c r="R34" s="76"/>
      <c r="S34" s="76">
        <v>1</v>
      </c>
      <c r="T34" s="76"/>
      <c r="U34" s="76"/>
      <c r="V34" s="49"/>
      <c r="W34" s="49"/>
      <c r="X34" s="49"/>
      <c r="Y34" s="49">
        <v>1</v>
      </c>
      <c r="Z34" s="49"/>
      <c r="AA34" s="49"/>
      <c r="AB34" s="49"/>
      <c r="AC34" s="49">
        <v>1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>
        <v>1</v>
      </c>
      <c r="AO34" s="49"/>
      <c r="AP34" s="49"/>
      <c r="AQ34" s="49">
        <v>10</v>
      </c>
      <c r="AR34" s="49"/>
      <c r="AS34" s="49"/>
    </row>
    <row r="35" spans="1:45" ht="15.75" x14ac:dyDescent="0.25">
      <c r="A35" s="38">
        <v>19</v>
      </c>
      <c r="B35" s="72" t="s">
        <v>471</v>
      </c>
      <c r="C35" s="75">
        <v>2</v>
      </c>
      <c r="D35" s="76">
        <v>1</v>
      </c>
      <c r="E35" s="76">
        <v>1</v>
      </c>
      <c r="F35" s="76"/>
      <c r="G35" s="76">
        <v>5</v>
      </c>
      <c r="H35" s="76">
        <v>1</v>
      </c>
      <c r="I35" s="76">
        <v>1</v>
      </c>
      <c r="J35" s="76"/>
      <c r="K35" s="76">
        <v>1</v>
      </c>
      <c r="L35" s="76">
        <v>1</v>
      </c>
      <c r="M35" s="76">
        <v>1</v>
      </c>
      <c r="N35" s="76"/>
      <c r="O35" s="76"/>
      <c r="P35" s="76">
        <v>1</v>
      </c>
      <c r="Q35" s="76"/>
      <c r="R35" s="76"/>
      <c r="S35" s="76">
        <v>1</v>
      </c>
      <c r="T35" s="76"/>
      <c r="U35" s="76"/>
      <c r="V35" s="49"/>
      <c r="W35" s="49"/>
      <c r="X35" s="49"/>
      <c r="Y35" s="49">
        <v>1</v>
      </c>
      <c r="Z35" s="49"/>
      <c r="AA35" s="49"/>
      <c r="AB35" s="49"/>
      <c r="AC35" s="49">
        <v>1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>
        <v>1</v>
      </c>
      <c r="AO35" s="49"/>
      <c r="AP35" s="49"/>
      <c r="AQ35" s="49">
        <v>10</v>
      </c>
      <c r="AR35" s="49"/>
      <c r="AS35" s="49"/>
    </row>
    <row r="36" spans="1:45" ht="15.75" x14ac:dyDescent="0.25">
      <c r="A36" s="38">
        <v>20</v>
      </c>
      <c r="B36" s="72" t="s">
        <v>472</v>
      </c>
      <c r="C36" s="75">
        <v>2</v>
      </c>
      <c r="D36" s="76">
        <v>1</v>
      </c>
      <c r="E36" s="76">
        <v>1</v>
      </c>
      <c r="F36" s="76"/>
      <c r="G36" s="76">
        <v>5</v>
      </c>
      <c r="H36" s="76">
        <v>1</v>
      </c>
      <c r="I36" s="76">
        <v>1</v>
      </c>
      <c r="J36" s="76"/>
      <c r="K36" s="76">
        <v>1</v>
      </c>
      <c r="L36" s="76">
        <v>1</v>
      </c>
      <c r="M36" s="76">
        <v>1</v>
      </c>
      <c r="N36" s="76"/>
      <c r="O36" s="76"/>
      <c r="P36" s="76">
        <v>1</v>
      </c>
      <c r="Q36" s="76"/>
      <c r="R36" s="76"/>
      <c r="S36" s="76">
        <v>1</v>
      </c>
      <c r="T36" s="76"/>
      <c r="U36" s="76"/>
      <c r="V36" s="49"/>
      <c r="W36" s="49"/>
      <c r="X36" s="49"/>
      <c r="Y36" s="49">
        <v>1</v>
      </c>
      <c r="Z36" s="49"/>
      <c r="AA36" s="49"/>
      <c r="AB36" s="49"/>
      <c r="AC36" s="49">
        <v>1</v>
      </c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>
        <v>1</v>
      </c>
      <c r="AO36" s="49"/>
      <c r="AP36" s="49"/>
      <c r="AQ36" s="49">
        <v>10</v>
      </c>
      <c r="AR36" s="49"/>
      <c r="AS36" s="49"/>
    </row>
    <row r="37" spans="1:45" ht="15.75" x14ac:dyDescent="0.25">
      <c r="A37" s="38">
        <v>21</v>
      </c>
      <c r="B37" s="72" t="s">
        <v>473</v>
      </c>
      <c r="C37" s="75">
        <v>2</v>
      </c>
      <c r="D37" s="76">
        <v>1</v>
      </c>
      <c r="E37" s="76">
        <v>1</v>
      </c>
      <c r="F37" s="76"/>
      <c r="G37" s="76">
        <v>5</v>
      </c>
      <c r="H37" s="76">
        <v>1</v>
      </c>
      <c r="I37" s="76">
        <v>1</v>
      </c>
      <c r="J37" s="76"/>
      <c r="K37" s="76">
        <v>1</v>
      </c>
      <c r="L37" s="76">
        <v>1</v>
      </c>
      <c r="M37" s="76">
        <v>1</v>
      </c>
      <c r="N37" s="76"/>
      <c r="O37" s="76"/>
      <c r="P37" s="76">
        <v>1</v>
      </c>
      <c r="Q37" s="76"/>
      <c r="R37" s="76"/>
      <c r="S37" s="76">
        <v>1</v>
      </c>
      <c r="T37" s="76"/>
      <c r="U37" s="76"/>
      <c r="V37" s="49"/>
      <c r="W37" s="49"/>
      <c r="X37" s="49"/>
      <c r="Y37" s="49">
        <v>1</v>
      </c>
      <c r="Z37" s="49"/>
      <c r="AA37" s="49"/>
      <c r="AB37" s="49"/>
      <c r="AC37" s="49">
        <v>1</v>
      </c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>
        <v>1</v>
      </c>
      <c r="AO37" s="49"/>
      <c r="AP37" s="49"/>
      <c r="AQ37" s="49">
        <v>10</v>
      </c>
      <c r="AR37" s="49"/>
      <c r="AS37" s="49"/>
    </row>
    <row r="38" spans="1:45" ht="15.75" x14ac:dyDescent="0.25">
      <c r="A38" s="38">
        <v>22</v>
      </c>
      <c r="B38" s="72" t="s">
        <v>518</v>
      </c>
      <c r="C38" s="75">
        <v>2</v>
      </c>
      <c r="D38" s="76">
        <v>1</v>
      </c>
      <c r="E38" s="76">
        <v>1</v>
      </c>
      <c r="F38" s="76"/>
      <c r="G38" s="76">
        <v>5</v>
      </c>
      <c r="H38" s="76">
        <v>1</v>
      </c>
      <c r="I38" s="76">
        <v>1</v>
      </c>
      <c r="J38" s="76"/>
      <c r="K38" s="76">
        <v>1</v>
      </c>
      <c r="L38" s="76">
        <v>1</v>
      </c>
      <c r="M38" s="76">
        <v>1</v>
      </c>
      <c r="N38" s="76"/>
      <c r="O38" s="76"/>
      <c r="P38" s="76">
        <v>1</v>
      </c>
      <c r="Q38" s="76"/>
      <c r="R38" s="76"/>
      <c r="S38" s="76">
        <v>1</v>
      </c>
      <c r="T38" s="76"/>
      <c r="U38" s="76"/>
      <c r="V38" s="49"/>
      <c r="W38" s="49"/>
      <c r="X38" s="49"/>
      <c r="Y38" s="49">
        <v>1</v>
      </c>
      <c r="Z38" s="49"/>
      <c r="AA38" s="49"/>
      <c r="AB38" s="49"/>
      <c r="AC38" s="49">
        <v>1</v>
      </c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>
        <v>1</v>
      </c>
      <c r="AO38" s="49"/>
      <c r="AP38" s="49"/>
      <c r="AQ38" s="49">
        <v>10</v>
      </c>
      <c r="AR38" s="49"/>
      <c r="AS38" s="49"/>
    </row>
    <row r="39" spans="1:45" ht="15.75" x14ac:dyDescent="0.25">
      <c r="A39" s="38">
        <v>23</v>
      </c>
      <c r="B39" s="72" t="s">
        <v>519</v>
      </c>
      <c r="C39" s="75">
        <v>2</v>
      </c>
      <c r="D39" s="76">
        <v>1</v>
      </c>
      <c r="E39" s="76">
        <v>1</v>
      </c>
      <c r="F39" s="76"/>
      <c r="G39" s="76">
        <v>5</v>
      </c>
      <c r="H39" s="76">
        <v>1</v>
      </c>
      <c r="I39" s="76">
        <v>1</v>
      </c>
      <c r="J39" s="76"/>
      <c r="K39" s="76">
        <v>1</v>
      </c>
      <c r="L39" s="76">
        <v>1</v>
      </c>
      <c r="M39" s="76">
        <v>1</v>
      </c>
      <c r="N39" s="76"/>
      <c r="O39" s="76"/>
      <c r="P39" s="76">
        <v>1</v>
      </c>
      <c r="Q39" s="76"/>
      <c r="R39" s="76"/>
      <c r="S39" s="76">
        <v>1</v>
      </c>
      <c r="T39" s="76"/>
      <c r="U39" s="76"/>
      <c r="V39" s="49"/>
      <c r="W39" s="49"/>
      <c r="X39" s="49"/>
      <c r="Y39" s="49">
        <v>1</v>
      </c>
      <c r="Z39" s="49"/>
      <c r="AA39" s="49"/>
      <c r="AB39" s="49"/>
      <c r="AC39" s="49">
        <v>1</v>
      </c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>
        <v>1</v>
      </c>
      <c r="AO39" s="49"/>
      <c r="AP39" s="49"/>
      <c r="AQ39" s="49"/>
      <c r="AR39" s="49"/>
      <c r="AS39" s="49"/>
    </row>
    <row r="40" spans="1:45" ht="15.75" x14ac:dyDescent="0.25">
      <c r="A40" s="38">
        <v>24</v>
      </c>
      <c r="B40" s="72" t="s">
        <v>520</v>
      </c>
      <c r="C40" s="75">
        <v>2</v>
      </c>
      <c r="D40" s="76">
        <v>1</v>
      </c>
      <c r="E40" s="76">
        <v>1</v>
      </c>
      <c r="F40" s="76"/>
      <c r="G40" s="76">
        <v>5</v>
      </c>
      <c r="H40" s="76">
        <v>1</v>
      </c>
      <c r="I40" s="76">
        <v>1</v>
      </c>
      <c r="J40" s="76"/>
      <c r="K40" s="76">
        <v>1</v>
      </c>
      <c r="L40" s="76">
        <v>1</v>
      </c>
      <c r="M40" s="76">
        <v>1</v>
      </c>
      <c r="N40" s="76"/>
      <c r="O40" s="76"/>
      <c r="P40" s="76">
        <v>1</v>
      </c>
      <c r="Q40" s="76"/>
      <c r="R40" s="76"/>
      <c r="S40" s="76">
        <v>1</v>
      </c>
      <c r="T40" s="76"/>
      <c r="U40" s="76"/>
      <c r="V40" s="49"/>
      <c r="W40" s="49"/>
      <c r="X40" s="49"/>
      <c r="Y40" s="49">
        <v>1</v>
      </c>
      <c r="Z40" s="49"/>
      <c r="AA40" s="49"/>
      <c r="AB40" s="49"/>
      <c r="AC40" s="49">
        <v>1</v>
      </c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>
        <v>1</v>
      </c>
      <c r="AO40" s="49"/>
      <c r="AP40" s="49"/>
      <c r="AQ40" s="49">
        <v>10</v>
      </c>
      <c r="AR40" s="49"/>
      <c r="AS40" s="49"/>
    </row>
    <row r="41" spans="1:45" ht="15.75" x14ac:dyDescent="0.25">
      <c r="A41" s="38">
        <v>25</v>
      </c>
      <c r="B41" s="72" t="s">
        <v>521</v>
      </c>
      <c r="C41" s="75">
        <v>2</v>
      </c>
      <c r="D41" s="76">
        <v>1</v>
      </c>
      <c r="E41" s="76">
        <v>1</v>
      </c>
      <c r="F41" s="76"/>
      <c r="G41" s="76">
        <v>5</v>
      </c>
      <c r="H41" s="76">
        <v>1</v>
      </c>
      <c r="I41" s="76">
        <v>1</v>
      </c>
      <c r="J41" s="76"/>
      <c r="K41" s="76">
        <v>1</v>
      </c>
      <c r="L41" s="76">
        <v>1</v>
      </c>
      <c r="M41" s="76">
        <v>1</v>
      </c>
      <c r="N41" s="76"/>
      <c r="O41" s="76"/>
      <c r="P41" s="76">
        <v>1</v>
      </c>
      <c r="Q41" s="76"/>
      <c r="R41" s="76"/>
      <c r="S41" s="76">
        <v>1</v>
      </c>
      <c r="T41" s="76"/>
      <c r="U41" s="76"/>
      <c r="V41" s="49"/>
      <c r="W41" s="49"/>
      <c r="X41" s="49"/>
      <c r="Y41" s="49">
        <v>1</v>
      </c>
      <c r="Z41" s="49"/>
      <c r="AA41" s="49"/>
      <c r="AB41" s="49"/>
      <c r="AC41" s="49">
        <v>1</v>
      </c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>
        <v>1</v>
      </c>
      <c r="AO41" s="49"/>
      <c r="AP41" s="49"/>
      <c r="AQ41" s="49">
        <v>10</v>
      </c>
      <c r="AR41" s="49"/>
      <c r="AS41" s="49"/>
    </row>
    <row r="42" spans="1:45" ht="15.75" x14ac:dyDescent="0.25">
      <c r="A42" s="38">
        <v>26</v>
      </c>
      <c r="B42" s="72" t="s">
        <v>522</v>
      </c>
      <c r="C42" s="75">
        <v>2</v>
      </c>
      <c r="D42" s="76">
        <v>1</v>
      </c>
      <c r="E42" s="76">
        <v>1</v>
      </c>
      <c r="F42" s="76"/>
      <c r="G42" s="76">
        <v>5</v>
      </c>
      <c r="H42" s="76">
        <v>1</v>
      </c>
      <c r="I42" s="76">
        <v>1</v>
      </c>
      <c r="J42" s="76"/>
      <c r="K42" s="76">
        <v>1</v>
      </c>
      <c r="L42" s="76">
        <v>1</v>
      </c>
      <c r="M42" s="76">
        <v>1</v>
      </c>
      <c r="N42" s="76"/>
      <c r="O42" s="76"/>
      <c r="P42" s="76">
        <v>1</v>
      </c>
      <c r="Q42" s="76"/>
      <c r="R42" s="76"/>
      <c r="S42" s="76">
        <v>1</v>
      </c>
      <c r="T42" s="76"/>
      <c r="U42" s="76"/>
      <c r="V42" s="49"/>
      <c r="W42" s="49"/>
      <c r="X42" s="49"/>
      <c r="Y42" s="49">
        <v>1</v>
      </c>
      <c r="Z42" s="49"/>
      <c r="AA42" s="49"/>
      <c r="AB42" s="49"/>
      <c r="AC42" s="49">
        <v>1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>
        <v>1</v>
      </c>
      <c r="AO42" s="49"/>
      <c r="AP42" s="49"/>
      <c r="AQ42" s="49">
        <v>10</v>
      </c>
      <c r="AR42" s="49"/>
      <c r="AS42" s="49"/>
    </row>
    <row r="43" spans="1:45" ht="15.75" x14ac:dyDescent="0.25">
      <c r="A43" s="38">
        <v>27</v>
      </c>
      <c r="B43" s="72" t="s">
        <v>523</v>
      </c>
      <c r="C43" s="75">
        <v>2</v>
      </c>
      <c r="D43" s="76">
        <v>1</v>
      </c>
      <c r="E43" s="76">
        <v>1</v>
      </c>
      <c r="F43" s="76"/>
      <c r="G43" s="76">
        <v>5</v>
      </c>
      <c r="H43" s="76">
        <v>1</v>
      </c>
      <c r="I43" s="76">
        <v>1</v>
      </c>
      <c r="J43" s="76"/>
      <c r="K43" s="76">
        <v>1</v>
      </c>
      <c r="L43" s="76">
        <v>1</v>
      </c>
      <c r="M43" s="76">
        <v>1</v>
      </c>
      <c r="N43" s="76"/>
      <c r="O43" s="76"/>
      <c r="P43" s="76">
        <v>1</v>
      </c>
      <c r="Q43" s="76"/>
      <c r="R43" s="76"/>
      <c r="S43" s="76">
        <v>1</v>
      </c>
      <c r="T43" s="76"/>
      <c r="U43" s="76"/>
      <c r="V43" s="49"/>
      <c r="W43" s="49"/>
      <c r="X43" s="49"/>
      <c r="Y43" s="49">
        <v>1</v>
      </c>
      <c r="Z43" s="49"/>
      <c r="AA43" s="49"/>
      <c r="AB43" s="49"/>
      <c r="AC43" s="49">
        <v>1</v>
      </c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>
        <v>1</v>
      </c>
      <c r="AO43" s="49"/>
      <c r="AP43" s="49"/>
      <c r="AQ43" s="49">
        <v>10</v>
      </c>
      <c r="AR43" s="49"/>
      <c r="AS43" s="49"/>
    </row>
    <row r="44" spans="1:45" ht="15.75" x14ac:dyDescent="0.25">
      <c r="A44" s="38">
        <v>28</v>
      </c>
      <c r="B44" s="72" t="s">
        <v>524</v>
      </c>
      <c r="C44" s="75">
        <v>2</v>
      </c>
      <c r="D44" s="76">
        <v>1</v>
      </c>
      <c r="E44" s="76">
        <v>1</v>
      </c>
      <c r="F44" s="76"/>
      <c r="G44" s="76">
        <v>5</v>
      </c>
      <c r="H44" s="76">
        <v>1</v>
      </c>
      <c r="I44" s="76">
        <v>1</v>
      </c>
      <c r="J44" s="76"/>
      <c r="K44" s="76">
        <v>1</v>
      </c>
      <c r="L44" s="76">
        <v>1</v>
      </c>
      <c r="M44" s="76">
        <v>1</v>
      </c>
      <c r="N44" s="76"/>
      <c r="O44" s="76"/>
      <c r="P44" s="76">
        <v>1</v>
      </c>
      <c r="Q44" s="76"/>
      <c r="R44" s="76"/>
      <c r="S44" s="76">
        <v>1</v>
      </c>
      <c r="T44" s="76"/>
      <c r="U44" s="76"/>
      <c r="V44" s="49"/>
      <c r="W44" s="49"/>
      <c r="X44" s="49"/>
      <c r="Y44" s="49">
        <v>1</v>
      </c>
      <c r="Z44" s="49"/>
      <c r="AA44" s="49"/>
      <c r="AB44" s="49"/>
      <c r="AC44" s="49">
        <v>1</v>
      </c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>
        <v>1</v>
      </c>
      <c r="AO44" s="49"/>
      <c r="AP44" s="49"/>
      <c r="AQ44" s="49">
        <v>10</v>
      </c>
      <c r="AR44" s="49"/>
      <c r="AS44" s="49"/>
    </row>
    <row r="45" spans="1:45" ht="15.75" x14ac:dyDescent="0.25">
      <c r="A45" s="38">
        <v>29</v>
      </c>
      <c r="B45" s="72" t="s">
        <v>525</v>
      </c>
      <c r="C45" s="75">
        <v>2</v>
      </c>
      <c r="D45" s="76">
        <v>1</v>
      </c>
      <c r="E45" s="76">
        <v>1</v>
      </c>
      <c r="F45" s="76"/>
      <c r="G45" s="76">
        <v>5</v>
      </c>
      <c r="H45" s="76">
        <v>1</v>
      </c>
      <c r="I45" s="76">
        <v>1</v>
      </c>
      <c r="J45" s="76"/>
      <c r="K45" s="76">
        <v>1</v>
      </c>
      <c r="L45" s="76">
        <v>1</v>
      </c>
      <c r="M45" s="76">
        <v>1</v>
      </c>
      <c r="N45" s="76"/>
      <c r="O45" s="76"/>
      <c r="P45" s="76">
        <v>1</v>
      </c>
      <c r="Q45" s="76"/>
      <c r="R45" s="76"/>
      <c r="S45" s="76">
        <v>1</v>
      </c>
      <c r="T45" s="76"/>
      <c r="U45" s="76"/>
      <c r="V45" s="49"/>
      <c r="W45" s="49"/>
      <c r="X45" s="49"/>
      <c r="Y45" s="49">
        <v>1</v>
      </c>
      <c r="Z45" s="49"/>
      <c r="AA45" s="49"/>
      <c r="AB45" s="49"/>
      <c r="AC45" s="49">
        <v>1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>
        <v>1</v>
      </c>
      <c r="AO45" s="49"/>
      <c r="AP45" s="49"/>
      <c r="AQ45" s="49"/>
      <c r="AR45" s="49"/>
      <c r="AS45" s="49"/>
    </row>
    <row r="46" spans="1:45" ht="15.75" x14ac:dyDescent="0.25">
      <c r="A46" s="38">
        <v>30</v>
      </c>
      <c r="B46" s="72" t="s">
        <v>526</v>
      </c>
      <c r="C46" s="75">
        <v>2</v>
      </c>
      <c r="D46" s="76">
        <v>1</v>
      </c>
      <c r="E46" s="76">
        <v>1</v>
      </c>
      <c r="F46" s="76"/>
      <c r="G46" s="76">
        <v>5</v>
      </c>
      <c r="H46" s="76">
        <v>1</v>
      </c>
      <c r="I46" s="76">
        <v>1</v>
      </c>
      <c r="J46" s="76"/>
      <c r="K46" s="76">
        <v>1</v>
      </c>
      <c r="L46" s="76">
        <v>1</v>
      </c>
      <c r="M46" s="76">
        <v>1</v>
      </c>
      <c r="N46" s="76"/>
      <c r="O46" s="76"/>
      <c r="P46" s="76">
        <v>1</v>
      </c>
      <c r="Q46" s="76"/>
      <c r="R46" s="76"/>
      <c r="S46" s="76">
        <v>1</v>
      </c>
      <c r="T46" s="76"/>
      <c r="U46" s="76"/>
      <c r="V46" s="49"/>
      <c r="W46" s="49"/>
      <c r="X46" s="49"/>
      <c r="Y46" s="49">
        <v>1</v>
      </c>
      <c r="Z46" s="49"/>
      <c r="AA46" s="49"/>
      <c r="AB46" s="49"/>
      <c r="AC46" s="49">
        <v>1</v>
      </c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>
        <v>1</v>
      </c>
      <c r="AO46" s="49"/>
      <c r="AP46" s="49"/>
      <c r="AQ46" s="49">
        <v>10</v>
      </c>
      <c r="AR46" s="49"/>
      <c r="AS46" s="49"/>
    </row>
    <row r="47" spans="1:45" ht="15.75" x14ac:dyDescent="0.25">
      <c r="A47" s="38">
        <v>31</v>
      </c>
      <c r="B47" s="72" t="s">
        <v>527</v>
      </c>
      <c r="C47" s="75">
        <v>2</v>
      </c>
      <c r="D47" s="76">
        <v>1</v>
      </c>
      <c r="E47" s="76">
        <v>1</v>
      </c>
      <c r="F47" s="76"/>
      <c r="G47" s="76">
        <v>5</v>
      </c>
      <c r="H47" s="76">
        <v>1</v>
      </c>
      <c r="I47" s="76">
        <v>1</v>
      </c>
      <c r="J47" s="76"/>
      <c r="K47" s="76">
        <v>1</v>
      </c>
      <c r="L47" s="76">
        <v>1</v>
      </c>
      <c r="M47" s="76">
        <v>1</v>
      </c>
      <c r="N47" s="76"/>
      <c r="O47" s="76"/>
      <c r="P47" s="76">
        <v>1</v>
      </c>
      <c r="Q47" s="76"/>
      <c r="R47" s="76"/>
      <c r="S47" s="76">
        <v>1</v>
      </c>
      <c r="T47" s="76"/>
      <c r="U47" s="76"/>
      <c r="V47" s="49"/>
      <c r="W47" s="49"/>
      <c r="X47" s="49"/>
      <c r="Y47" s="49">
        <v>1</v>
      </c>
      <c r="Z47" s="49"/>
      <c r="AA47" s="49"/>
      <c r="AB47" s="49"/>
      <c r="AC47" s="49">
        <v>1</v>
      </c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>
        <v>1</v>
      </c>
      <c r="AO47" s="49"/>
      <c r="AP47" s="49"/>
      <c r="AQ47" s="49">
        <v>10</v>
      </c>
      <c r="AR47" s="49"/>
      <c r="AS47" s="49"/>
    </row>
    <row r="48" spans="1:45" ht="15.75" x14ac:dyDescent="0.25">
      <c r="A48" s="38">
        <v>32</v>
      </c>
      <c r="B48" s="72" t="s">
        <v>528</v>
      </c>
      <c r="C48" s="75">
        <v>2</v>
      </c>
      <c r="D48" s="76">
        <v>1</v>
      </c>
      <c r="E48" s="76">
        <v>1</v>
      </c>
      <c r="F48" s="76"/>
      <c r="G48" s="76">
        <v>5</v>
      </c>
      <c r="H48" s="76">
        <v>1</v>
      </c>
      <c r="I48" s="76">
        <v>1</v>
      </c>
      <c r="J48" s="76"/>
      <c r="K48" s="76">
        <v>1</v>
      </c>
      <c r="L48" s="76">
        <v>1</v>
      </c>
      <c r="M48" s="76">
        <v>1</v>
      </c>
      <c r="N48" s="76"/>
      <c r="O48" s="76"/>
      <c r="P48" s="76">
        <v>1</v>
      </c>
      <c r="Q48" s="76"/>
      <c r="R48" s="76"/>
      <c r="S48" s="76">
        <v>1</v>
      </c>
      <c r="T48" s="76"/>
      <c r="U48" s="76"/>
      <c r="V48" s="49"/>
      <c r="W48" s="49"/>
      <c r="X48" s="49"/>
      <c r="Y48" s="49">
        <v>1</v>
      </c>
      <c r="Z48" s="49"/>
      <c r="AA48" s="49"/>
      <c r="AB48" s="49"/>
      <c r="AC48" s="49">
        <v>1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>
        <v>1</v>
      </c>
      <c r="AO48" s="49"/>
      <c r="AP48" s="49"/>
      <c r="AQ48" s="49">
        <v>10</v>
      </c>
      <c r="AR48" s="49"/>
      <c r="AS48" s="49"/>
    </row>
    <row r="49" spans="1:45" ht="15.75" x14ac:dyDescent="0.25">
      <c r="A49" s="38">
        <v>33</v>
      </c>
      <c r="B49" s="72" t="s">
        <v>529</v>
      </c>
      <c r="C49" s="75">
        <v>2</v>
      </c>
      <c r="D49" s="76">
        <v>1</v>
      </c>
      <c r="E49" s="76">
        <v>1</v>
      </c>
      <c r="F49" s="76"/>
      <c r="G49" s="76">
        <v>5</v>
      </c>
      <c r="H49" s="76">
        <v>1</v>
      </c>
      <c r="I49" s="76">
        <v>1</v>
      </c>
      <c r="J49" s="76"/>
      <c r="K49" s="76">
        <v>1</v>
      </c>
      <c r="L49" s="76">
        <v>1</v>
      </c>
      <c r="M49" s="76">
        <v>1</v>
      </c>
      <c r="N49" s="76"/>
      <c r="O49" s="76"/>
      <c r="P49" s="76">
        <v>1</v>
      </c>
      <c r="Q49" s="76"/>
      <c r="R49" s="76"/>
      <c r="S49" s="76">
        <v>1</v>
      </c>
      <c r="T49" s="76"/>
      <c r="U49" s="76"/>
      <c r="V49" s="49"/>
      <c r="W49" s="49"/>
      <c r="X49" s="49"/>
      <c r="Y49" s="49">
        <v>1</v>
      </c>
      <c r="Z49" s="49"/>
      <c r="AA49" s="49"/>
      <c r="AB49" s="49"/>
      <c r="AC49" s="49">
        <v>1</v>
      </c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>
        <v>1</v>
      </c>
      <c r="AO49" s="49"/>
      <c r="AP49" s="49"/>
      <c r="AQ49" s="49">
        <v>10</v>
      </c>
      <c r="AR49" s="49"/>
      <c r="AS49" s="49"/>
    </row>
    <row r="50" spans="1:45" ht="15.75" x14ac:dyDescent="0.25">
      <c r="A50" s="38">
        <v>34</v>
      </c>
      <c r="B50" s="72" t="s">
        <v>530</v>
      </c>
      <c r="C50" s="75">
        <v>2</v>
      </c>
      <c r="D50" s="76">
        <v>1</v>
      </c>
      <c r="E50" s="76">
        <v>1</v>
      </c>
      <c r="F50" s="76"/>
      <c r="G50" s="76">
        <v>5</v>
      </c>
      <c r="H50" s="76">
        <v>1</v>
      </c>
      <c r="I50" s="76">
        <v>1</v>
      </c>
      <c r="J50" s="76"/>
      <c r="K50" s="76">
        <v>1</v>
      </c>
      <c r="L50" s="76">
        <v>1</v>
      </c>
      <c r="M50" s="76">
        <v>1</v>
      </c>
      <c r="N50" s="76"/>
      <c r="O50" s="76"/>
      <c r="P50" s="76">
        <v>1</v>
      </c>
      <c r="Q50" s="76"/>
      <c r="R50" s="76"/>
      <c r="S50" s="76">
        <v>1</v>
      </c>
      <c r="T50" s="76"/>
      <c r="U50" s="76"/>
      <c r="V50" s="49"/>
      <c r="W50" s="49"/>
      <c r="X50" s="49"/>
      <c r="Y50" s="49">
        <v>1</v>
      </c>
      <c r="Z50" s="49"/>
      <c r="AA50" s="49"/>
      <c r="AB50" s="49"/>
      <c r="AC50" s="49">
        <v>1</v>
      </c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>
        <v>1</v>
      </c>
      <c r="AO50" s="49"/>
      <c r="AP50" s="49"/>
      <c r="AQ50" s="49">
        <v>10</v>
      </c>
      <c r="AR50" s="49"/>
      <c r="AS50" s="49"/>
    </row>
    <row r="51" spans="1:45" ht="15.75" x14ac:dyDescent="0.25">
      <c r="A51" s="38">
        <v>35</v>
      </c>
      <c r="B51" s="72" t="s">
        <v>531</v>
      </c>
      <c r="C51" s="75">
        <v>2</v>
      </c>
      <c r="D51" s="76">
        <v>1</v>
      </c>
      <c r="E51" s="76">
        <v>1</v>
      </c>
      <c r="F51" s="76"/>
      <c r="G51" s="76">
        <v>5</v>
      </c>
      <c r="H51" s="76">
        <v>1</v>
      </c>
      <c r="I51" s="76">
        <v>1</v>
      </c>
      <c r="J51" s="76"/>
      <c r="K51" s="76">
        <v>1</v>
      </c>
      <c r="L51" s="76">
        <v>1</v>
      </c>
      <c r="M51" s="76">
        <v>1</v>
      </c>
      <c r="N51" s="76"/>
      <c r="O51" s="76"/>
      <c r="P51" s="76">
        <v>1</v>
      </c>
      <c r="Q51" s="76"/>
      <c r="R51" s="76"/>
      <c r="S51" s="76">
        <v>1</v>
      </c>
      <c r="T51" s="76"/>
      <c r="U51" s="76"/>
      <c r="V51" s="49"/>
      <c r="W51" s="49"/>
      <c r="X51" s="49"/>
      <c r="Y51" s="49">
        <v>1</v>
      </c>
      <c r="Z51" s="49"/>
      <c r="AA51" s="49"/>
      <c r="AB51" s="49"/>
      <c r="AC51" s="49">
        <v>1</v>
      </c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>
        <v>1</v>
      </c>
      <c r="AO51" s="49"/>
      <c r="AP51" s="49"/>
      <c r="AQ51" s="49">
        <v>10</v>
      </c>
      <c r="AR51" s="49"/>
      <c r="AS51" s="49"/>
    </row>
    <row r="52" spans="1:45" ht="15.75" x14ac:dyDescent="0.25">
      <c r="A52" s="38">
        <v>36</v>
      </c>
      <c r="B52" s="72" t="s">
        <v>532</v>
      </c>
      <c r="C52" s="75">
        <v>2</v>
      </c>
      <c r="D52" s="76">
        <v>1</v>
      </c>
      <c r="E52" s="76">
        <v>1</v>
      </c>
      <c r="F52" s="76"/>
      <c r="G52" s="76">
        <v>5</v>
      </c>
      <c r="H52" s="76">
        <v>1</v>
      </c>
      <c r="I52" s="76">
        <v>1</v>
      </c>
      <c r="J52" s="76"/>
      <c r="K52" s="76">
        <v>1</v>
      </c>
      <c r="L52" s="76">
        <v>1</v>
      </c>
      <c r="M52" s="76">
        <v>1</v>
      </c>
      <c r="N52" s="76"/>
      <c r="O52" s="76"/>
      <c r="P52" s="76">
        <v>1</v>
      </c>
      <c r="Q52" s="76"/>
      <c r="R52" s="76"/>
      <c r="S52" s="76">
        <v>1</v>
      </c>
      <c r="T52" s="76"/>
      <c r="U52" s="76"/>
      <c r="V52" s="49"/>
      <c r="W52" s="49"/>
      <c r="X52" s="49"/>
      <c r="Y52" s="49">
        <v>1</v>
      </c>
      <c r="Z52" s="49"/>
      <c r="AA52" s="49"/>
      <c r="AB52" s="49"/>
      <c r="AC52" s="49">
        <v>1</v>
      </c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>
        <v>1</v>
      </c>
      <c r="AO52" s="49"/>
      <c r="AP52" s="49"/>
      <c r="AQ52" s="49"/>
      <c r="AR52" s="49"/>
      <c r="AS52" s="49"/>
    </row>
    <row r="53" spans="1:45" ht="15.75" x14ac:dyDescent="0.25">
      <c r="A53" s="38">
        <v>37</v>
      </c>
      <c r="B53" s="72" t="s">
        <v>533</v>
      </c>
      <c r="C53" s="75">
        <v>2</v>
      </c>
      <c r="D53" s="76">
        <v>1</v>
      </c>
      <c r="E53" s="76">
        <v>1</v>
      </c>
      <c r="F53" s="76"/>
      <c r="G53" s="76">
        <v>5</v>
      </c>
      <c r="H53" s="76">
        <v>1</v>
      </c>
      <c r="I53" s="76">
        <v>1</v>
      </c>
      <c r="J53" s="76"/>
      <c r="K53" s="76">
        <v>1</v>
      </c>
      <c r="L53" s="76">
        <v>1</v>
      </c>
      <c r="M53" s="76">
        <v>1</v>
      </c>
      <c r="N53" s="76"/>
      <c r="O53" s="76"/>
      <c r="P53" s="76">
        <v>1</v>
      </c>
      <c r="Q53" s="76"/>
      <c r="R53" s="76"/>
      <c r="S53" s="76">
        <v>1</v>
      </c>
      <c r="T53" s="76"/>
      <c r="U53" s="76"/>
      <c r="V53" s="49"/>
      <c r="W53" s="49"/>
      <c r="X53" s="49"/>
      <c r="Y53" s="49">
        <v>1</v>
      </c>
      <c r="Z53" s="49"/>
      <c r="AA53" s="49"/>
      <c r="AB53" s="49"/>
      <c r="AC53" s="49">
        <v>1</v>
      </c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>
        <v>1</v>
      </c>
      <c r="AO53" s="49"/>
      <c r="AP53" s="49"/>
      <c r="AQ53" s="49"/>
      <c r="AR53" s="49"/>
      <c r="AS53" s="49"/>
    </row>
    <row r="54" spans="1:45" ht="15.75" x14ac:dyDescent="0.25">
      <c r="A54" s="38">
        <v>38</v>
      </c>
      <c r="B54" s="72" t="s">
        <v>407</v>
      </c>
      <c r="C54" s="75">
        <v>2</v>
      </c>
      <c r="D54" s="76">
        <v>1</v>
      </c>
      <c r="E54" s="76">
        <v>1</v>
      </c>
      <c r="F54" s="76"/>
      <c r="G54" s="76">
        <v>5</v>
      </c>
      <c r="H54" s="76">
        <v>1</v>
      </c>
      <c r="I54" s="76">
        <v>1</v>
      </c>
      <c r="J54" s="76"/>
      <c r="K54" s="76">
        <v>1</v>
      </c>
      <c r="L54" s="76">
        <v>1</v>
      </c>
      <c r="M54" s="76">
        <v>1</v>
      </c>
      <c r="N54" s="76"/>
      <c r="O54" s="76"/>
      <c r="P54" s="76">
        <v>1</v>
      </c>
      <c r="Q54" s="76"/>
      <c r="R54" s="76"/>
      <c r="S54" s="76">
        <v>1</v>
      </c>
      <c r="T54" s="76"/>
      <c r="U54" s="76"/>
      <c r="V54" s="49"/>
      <c r="W54" s="49"/>
      <c r="X54" s="49"/>
      <c r="Y54" s="49">
        <v>1</v>
      </c>
      <c r="Z54" s="49"/>
      <c r="AA54" s="49"/>
      <c r="AB54" s="49"/>
      <c r="AC54" s="49">
        <v>1</v>
      </c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>
        <v>1</v>
      </c>
      <c r="AO54" s="49"/>
      <c r="AP54" s="49"/>
      <c r="AQ54" s="49">
        <v>10</v>
      </c>
      <c r="AR54" s="49"/>
      <c r="AS54" s="49"/>
    </row>
    <row r="55" spans="1:45" ht="18.75" x14ac:dyDescent="0.25">
      <c r="A55" s="25"/>
      <c r="B55" s="43" t="s">
        <v>1</v>
      </c>
      <c r="C55" s="34">
        <f t="shared" ref="C55:AS55" si="0">SUM(C17:C54)</f>
        <v>76</v>
      </c>
      <c r="D55" s="34">
        <f t="shared" si="0"/>
        <v>38</v>
      </c>
      <c r="E55" s="34">
        <f t="shared" si="0"/>
        <v>38</v>
      </c>
      <c r="F55" s="34">
        <f t="shared" si="0"/>
        <v>0</v>
      </c>
      <c r="G55" s="34">
        <f t="shared" si="0"/>
        <v>190</v>
      </c>
      <c r="H55" s="34">
        <f t="shared" si="0"/>
        <v>38</v>
      </c>
      <c r="I55" s="34">
        <f t="shared" si="0"/>
        <v>38</v>
      </c>
      <c r="J55" s="34">
        <f t="shared" si="0"/>
        <v>0</v>
      </c>
      <c r="K55" s="34">
        <f t="shared" si="0"/>
        <v>38</v>
      </c>
      <c r="L55" s="34">
        <f t="shared" si="0"/>
        <v>38</v>
      </c>
      <c r="M55" s="34">
        <f t="shared" si="0"/>
        <v>38</v>
      </c>
      <c r="N55" s="34">
        <f t="shared" si="0"/>
        <v>0</v>
      </c>
      <c r="O55" s="34">
        <f t="shared" si="0"/>
        <v>0</v>
      </c>
      <c r="P55" s="34">
        <f t="shared" si="0"/>
        <v>38</v>
      </c>
      <c r="Q55" s="34">
        <f t="shared" si="0"/>
        <v>0</v>
      </c>
      <c r="R55" s="34">
        <f t="shared" si="0"/>
        <v>0</v>
      </c>
      <c r="S55" s="34">
        <f t="shared" si="0"/>
        <v>38</v>
      </c>
      <c r="T55" s="34">
        <f t="shared" si="0"/>
        <v>0</v>
      </c>
      <c r="U55" s="34">
        <f t="shared" si="0"/>
        <v>0</v>
      </c>
      <c r="V55" s="34">
        <f t="shared" si="0"/>
        <v>0</v>
      </c>
      <c r="W55" s="34">
        <f t="shared" si="0"/>
        <v>0</v>
      </c>
      <c r="X55" s="34">
        <f t="shared" si="0"/>
        <v>0</v>
      </c>
      <c r="Y55" s="34">
        <f t="shared" si="0"/>
        <v>38</v>
      </c>
      <c r="Z55" s="34">
        <f t="shared" si="0"/>
        <v>0</v>
      </c>
      <c r="AA55" s="34">
        <f t="shared" si="0"/>
        <v>0</v>
      </c>
      <c r="AB55" s="34">
        <f t="shared" si="0"/>
        <v>0</v>
      </c>
      <c r="AC55" s="34">
        <f t="shared" si="0"/>
        <v>38</v>
      </c>
      <c r="AD55" s="34">
        <f t="shared" si="0"/>
        <v>0</v>
      </c>
      <c r="AE55" s="34">
        <f t="shared" si="0"/>
        <v>0</v>
      </c>
      <c r="AF55" s="34">
        <f t="shared" si="0"/>
        <v>0</v>
      </c>
      <c r="AG55" s="34">
        <f t="shared" si="0"/>
        <v>0</v>
      </c>
      <c r="AH55" s="34">
        <f t="shared" si="0"/>
        <v>0</v>
      </c>
      <c r="AI55" s="34">
        <f t="shared" si="0"/>
        <v>0</v>
      </c>
      <c r="AJ55" s="34">
        <f t="shared" si="0"/>
        <v>0</v>
      </c>
      <c r="AK55" s="34">
        <f t="shared" si="0"/>
        <v>0</v>
      </c>
      <c r="AL55" s="34">
        <f t="shared" si="0"/>
        <v>0</v>
      </c>
      <c r="AM55" s="34">
        <f t="shared" si="0"/>
        <v>0</v>
      </c>
      <c r="AN55" s="34">
        <f t="shared" si="0"/>
        <v>38</v>
      </c>
      <c r="AO55" s="34">
        <f t="shared" si="0"/>
        <v>0</v>
      </c>
      <c r="AP55" s="34">
        <f t="shared" si="0"/>
        <v>0</v>
      </c>
      <c r="AQ55" s="34">
        <f t="shared" si="0"/>
        <v>320</v>
      </c>
      <c r="AR55" s="34">
        <f t="shared" si="0"/>
        <v>0</v>
      </c>
      <c r="AS55" s="34">
        <f t="shared" si="0"/>
        <v>0</v>
      </c>
    </row>
    <row r="59" spans="1:45" ht="15.75" x14ac:dyDescent="0.25">
      <c r="B59" s="63" t="s">
        <v>291</v>
      </c>
      <c r="C59" s="64" t="s">
        <v>300</v>
      </c>
      <c r="I59" s="65"/>
      <c r="J59" s="65"/>
      <c r="K59" s="65"/>
      <c r="L59" s="65"/>
      <c r="M59" s="65"/>
      <c r="N59" s="65"/>
      <c r="O59" s="65"/>
      <c r="R59" s="66"/>
      <c r="S59" s="66"/>
      <c r="T59" s="66"/>
      <c r="U59" s="66"/>
      <c r="V59" s="66"/>
      <c r="W59" s="66"/>
      <c r="X59" s="66"/>
    </row>
    <row r="60" spans="1:45" ht="15.75" x14ac:dyDescent="0.25">
      <c r="C60"/>
      <c r="K60" s="67" t="s">
        <v>293</v>
      </c>
      <c r="U60" s="64" t="s">
        <v>292</v>
      </c>
    </row>
  </sheetData>
  <mergeCells count="7">
    <mergeCell ref="A10:AS10"/>
    <mergeCell ref="A11:AS11"/>
    <mergeCell ref="A14:A15"/>
    <mergeCell ref="B14:B15"/>
    <mergeCell ref="C14:AS14"/>
    <mergeCell ref="S12:T12"/>
    <mergeCell ref="U12:V12"/>
  </mergeCells>
  <conditionalFormatting sqref="B20">
    <cfRule type="duplicateValues" dxfId="124" priority="495"/>
    <cfRule type="duplicateValues" dxfId="123" priority="496"/>
  </conditionalFormatting>
  <conditionalFormatting sqref="B21:B54">
    <cfRule type="duplicateValues" dxfId="122" priority="756"/>
    <cfRule type="duplicateValues" dxfId="121" priority="757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6FF99"/>
    <pageSetUpPr fitToPage="1"/>
  </sheetPr>
  <dimension ref="A10:AS84"/>
  <sheetViews>
    <sheetView topLeftCell="A51" zoomScale="115" zoomScaleNormal="115" zoomScaleSheetLayoutView="100" workbookViewId="0">
      <selection activeCell="B17" sqref="B17:B78"/>
    </sheetView>
  </sheetViews>
  <sheetFormatPr defaultRowHeight="15" x14ac:dyDescent="0.25"/>
  <cols>
    <col min="1" max="1" width="5.28515625" customWidth="1"/>
    <col min="2" max="2" width="40" bestFit="1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294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 t="s">
        <v>288</v>
      </c>
      <c r="S12" s="112" t="str">
        <f>'Справочник-не смотрим!'!B1</f>
        <v>февраль</v>
      </c>
      <c r="T12" s="112"/>
      <c r="U12" s="112">
        <f>'Справочник-не смотрим!'!B2</f>
        <v>2026</v>
      </c>
      <c r="V12" s="112"/>
      <c r="W12" s="61" t="s">
        <v>289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49">
        <v>1</v>
      </c>
      <c r="B17" s="42" t="s">
        <v>109</v>
      </c>
      <c r="C17" s="75">
        <v>2</v>
      </c>
      <c r="D17" s="76">
        <v>1</v>
      </c>
      <c r="E17" s="76"/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>
        <v>1</v>
      </c>
      <c r="N17" s="76"/>
      <c r="O17" s="76">
        <v>1</v>
      </c>
      <c r="P17" s="76">
        <v>1</v>
      </c>
      <c r="Q17" s="76"/>
      <c r="R17" s="76"/>
      <c r="S17" s="76">
        <v>1</v>
      </c>
      <c r="T17" s="76"/>
      <c r="U17" s="76">
        <v>1</v>
      </c>
      <c r="V17" s="49">
        <v>1</v>
      </c>
      <c r="W17" s="49"/>
      <c r="X17" s="49"/>
      <c r="Y17" s="49">
        <v>1</v>
      </c>
      <c r="Z17" s="49"/>
      <c r="AA17" s="49"/>
      <c r="AB17" s="49"/>
      <c r="AC17" s="49">
        <v>1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>
        <v>1</v>
      </c>
      <c r="AO17" s="49"/>
      <c r="AP17" s="49"/>
      <c r="AQ17" s="49"/>
      <c r="AR17" s="49"/>
      <c r="AS17" s="49"/>
    </row>
    <row r="18" spans="1:45" ht="15.75" x14ac:dyDescent="0.25">
      <c r="A18" s="49">
        <v>2</v>
      </c>
      <c r="B18" s="42" t="s">
        <v>306</v>
      </c>
      <c r="C18" s="75">
        <v>2</v>
      </c>
      <c r="D18" s="76">
        <v>1</v>
      </c>
      <c r="E18" s="76"/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>
        <v>1</v>
      </c>
      <c r="N18" s="76"/>
      <c r="O18" s="76">
        <v>1</v>
      </c>
      <c r="P18" s="76">
        <v>1</v>
      </c>
      <c r="Q18" s="76"/>
      <c r="R18" s="76"/>
      <c r="S18" s="76">
        <v>1</v>
      </c>
      <c r="T18" s="76"/>
      <c r="U18" s="76">
        <v>1</v>
      </c>
      <c r="V18" s="49">
        <v>1</v>
      </c>
      <c r="W18" s="49"/>
      <c r="X18" s="49"/>
      <c r="Y18" s="49">
        <v>1</v>
      </c>
      <c r="Z18" s="49"/>
      <c r="AA18" s="49"/>
      <c r="AB18" s="49"/>
      <c r="AC18" s="49">
        <v>1</v>
      </c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>
        <v>1</v>
      </c>
      <c r="AO18" s="49"/>
      <c r="AP18" s="49"/>
      <c r="AQ18" s="49"/>
      <c r="AR18" s="49"/>
      <c r="AS18" s="49"/>
    </row>
    <row r="19" spans="1:45" ht="15.75" x14ac:dyDescent="0.25">
      <c r="A19" s="49">
        <v>3</v>
      </c>
      <c r="B19" s="42" t="s">
        <v>110</v>
      </c>
      <c r="C19" s="75">
        <v>2</v>
      </c>
      <c r="D19" s="76">
        <v>1</v>
      </c>
      <c r="E19" s="76"/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>
        <v>1</v>
      </c>
      <c r="N19" s="76"/>
      <c r="O19" s="76">
        <v>1</v>
      </c>
      <c r="P19" s="76">
        <v>1</v>
      </c>
      <c r="Q19" s="76"/>
      <c r="R19" s="76"/>
      <c r="S19" s="76">
        <v>1</v>
      </c>
      <c r="T19" s="76"/>
      <c r="U19" s="76">
        <v>1</v>
      </c>
      <c r="V19" s="49">
        <v>1</v>
      </c>
      <c r="W19" s="49"/>
      <c r="X19" s="49"/>
      <c r="Y19" s="49">
        <v>1</v>
      </c>
      <c r="Z19" s="49"/>
      <c r="AA19" s="49"/>
      <c r="AB19" s="49"/>
      <c r="AC19" s="49">
        <v>1</v>
      </c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>
        <v>1</v>
      </c>
      <c r="AO19" s="49"/>
      <c r="AP19" s="49"/>
      <c r="AQ19" s="49">
        <v>20</v>
      </c>
      <c r="AR19" s="49"/>
      <c r="AS19" s="49"/>
    </row>
    <row r="20" spans="1:45" ht="15.75" x14ac:dyDescent="0.25">
      <c r="A20" s="49">
        <v>4</v>
      </c>
      <c r="B20" s="42" t="s">
        <v>111</v>
      </c>
      <c r="C20" s="75">
        <v>2</v>
      </c>
      <c r="D20" s="76">
        <v>1</v>
      </c>
      <c r="E20" s="76"/>
      <c r="F20" s="76"/>
      <c r="G20" s="76">
        <v>5</v>
      </c>
      <c r="H20" s="76">
        <v>1</v>
      </c>
      <c r="I20" s="76">
        <v>1</v>
      </c>
      <c r="J20" s="76"/>
      <c r="K20" s="76">
        <v>1</v>
      </c>
      <c r="L20" s="76">
        <v>1</v>
      </c>
      <c r="M20" s="76">
        <v>1</v>
      </c>
      <c r="N20" s="76"/>
      <c r="O20" s="76">
        <v>1</v>
      </c>
      <c r="P20" s="76">
        <v>1</v>
      </c>
      <c r="Q20" s="76"/>
      <c r="R20" s="76"/>
      <c r="S20" s="76">
        <v>1</v>
      </c>
      <c r="T20" s="76"/>
      <c r="U20" s="76">
        <v>1</v>
      </c>
      <c r="V20" s="49">
        <v>1</v>
      </c>
      <c r="W20" s="49"/>
      <c r="X20" s="49"/>
      <c r="Y20" s="49">
        <v>1</v>
      </c>
      <c r="Z20" s="49"/>
      <c r="AA20" s="49"/>
      <c r="AB20" s="49"/>
      <c r="AC20" s="49">
        <v>1</v>
      </c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>
        <v>1</v>
      </c>
      <c r="AO20" s="49"/>
      <c r="AP20" s="49"/>
      <c r="AQ20" s="49"/>
      <c r="AR20" s="49"/>
      <c r="AS20" s="49"/>
    </row>
    <row r="21" spans="1:45" ht="15.75" x14ac:dyDescent="0.25">
      <c r="A21" s="49">
        <v>5</v>
      </c>
      <c r="B21" s="42" t="s">
        <v>314</v>
      </c>
      <c r="C21" s="75">
        <v>2</v>
      </c>
      <c r="D21" s="76">
        <v>1</v>
      </c>
      <c r="E21" s="76"/>
      <c r="F21" s="76"/>
      <c r="G21" s="76">
        <v>5</v>
      </c>
      <c r="H21" s="76">
        <v>1</v>
      </c>
      <c r="I21" s="76">
        <v>1</v>
      </c>
      <c r="J21" s="76"/>
      <c r="K21" s="76">
        <v>1</v>
      </c>
      <c r="L21" s="76">
        <v>1</v>
      </c>
      <c r="M21" s="76">
        <v>1</v>
      </c>
      <c r="N21" s="76"/>
      <c r="O21" s="76">
        <v>1</v>
      </c>
      <c r="P21" s="76">
        <v>1</v>
      </c>
      <c r="Q21" s="76"/>
      <c r="R21" s="76"/>
      <c r="S21" s="76">
        <v>1</v>
      </c>
      <c r="T21" s="76"/>
      <c r="U21" s="76">
        <v>1</v>
      </c>
      <c r="V21" s="49">
        <v>1</v>
      </c>
      <c r="W21" s="49"/>
      <c r="X21" s="49"/>
      <c r="Y21" s="49">
        <v>1</v>
      </c>
      <c r="Z21" s="49"/>
      <c r="AA21" s="49"/>
      <c r="AB21" s="49"/>
      <c r="AC21" s="49">
        <v>1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>
        <v>1</v>
      </c>
      <c r="AO21" s="49"/>
      <c r="AP21" s="49"/>
      <c r="AQ21" s="49"/>
      <c r="AR21" s="49"/>
      <c r="AS21" s="49"/>
    </row>
    <row r="22" spans="1:45" ht="15.75" x14ac:dyDescent="0.25">
      <c r="A22" s="49">
        <v>6</v>
      </c>
      <c r="B22" s="42" t="s">
        <v>112</v>
      </c>
      <c r="C22" s="75">
        <v>2</v>
      </c>
      <c r="D22" s="76">
        <v>1</v>
      </c>
      <c r="E22" s="76"/>
      <c r="F22" s="76"/>
      <c r="G22" s="76">
        <v>5</v>
      </c>
      <c r="H22" s="76">
        <v>1</v>
      </c>
      <c r="I22" s="76">
        <v>1</v>
      </c>
      <c r="J22" s="76"/>
      <c r="K22" s="76">
        <v>1</v>
      </c>
      <c r="L22" s="76">
        <v>1</v>
      </c>
      <c r="M22" s="76">
        <v>1</v>
      </c>
      <c r="N22" s="76"/>
      <c r="O22" s="76">
        <v>1</v>
      </c>
      <c r="P22" s="76">
        <v>1</v>
      </c>
      <c r="Q22" s="76"/>
      <c r="R22" s="76"/>
      <c r="S22" s="76">
        <v>1</v>
      </c>
      <c r="T22" s="76"/>
      <c r="U22" s="76">
        <v>1</v>
      </c>
      <c r="V22" s="49">
        <v>1</v>
      </c>
      <c r="W22" s="49"/>
      <c r="X22" s="49"/>
      <c r="Y22" s="49">
        <v>1</v>
      </c>
      <c r="Z22" s="49"/>
      <c r="AA22" s="49"/>
      <c r="AB22" s="49"/>
      <c r="AC22" s="49">
        <v>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>
        <v>1</v>
      </c>
      <c r="AO22" s="49"/>
      <c r="AP22" s="49"/>
      <c r="AQ22" s="49"/>
      <c r="AR22" s="49"/>
      <c r="AS22" s="49"/>
    </row>
    <row r="23" spans="1:45" ht="15.75" x14ac:dyDescent="0.25">
      <c r="A23" s="49">
        <v>7</v>
      </c>
      <c r="B23" s="42" t="s">
        <v>113</v>
      </c>
      <c r="C23" s="75">
        <v>2</v>
      </c>
      <c r="D23" s="76">
        <v>1</v>
      </c>
      <c r="E23" s="76"/>
      <c r="F23" s="76"/>
      <c r="G23" s="76">
        <v>5</v>
      </c>
      <c r="H23" s="76">
        <v>1</v>
      </c>
      <c r="I23" s="76">
        <v>1</v>
      </c>
      <c r="J23" s="76"/>
      <c r="K23" s="76">
        <v>1</v>
      </c>
      <c r="L23" s="76">
        <v>1</v>
      </c>
      <c r="M23" s="76">
        <v>1</v>
      </c>
      <c r="N23" s="76"/>
      <c r="O23" s="76">
        <v>1</v>
      </c>
      <c r="P23" s="76">
        <v>1</v>
      </c>
      <c r="Q23" s="76"/>
      <c r="R23" s="76"/>
      <c r="S23" s="76">
        <v>1</v>
      </c>
      <c r="T23" s="76"/>
      <c r="U23" s="76">
        <v>1</v>
      </c>
      <c r="V23" s="49">
        <v>1</v>
      </c>
      <c r="W23" s="49"/>
      <c r="X23" s="49"/>
      <c r="Y23" s="49">
        <v>1</v>
      </c>
      <c r="Z23" s="49"/>
      <c r="AA23" s="49"/>
      <c r="AB23" s="49"/>
      <c r="AC23" s="49">
        <v>1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>
        <v>1</v>
      </c>
      <c r="AO23" s="49"/>
      <c r="AP23" s="49"/>
      <c r="AQ23" s="49"/>
      <c r="AR23" s="49"/>
      <c r="AS23" s="49"/>
    </row>
    <row r="24" spans="1:45" ht="15.75" x14ac:dyDescent="0.25">
      <c r="A24" s="49">
        <v>8</v>
      </c>
      <c r="B24" s="92" t="s">
        <v>332</v>
      </c>
      <c r="C24" s="75">
        <v>2</v>
      </c>
      <c r="D24" s="76">
        <v>1</v>
      </c>
      <c r="E24" s="76"/>
      <c r="F24" s="76"/>
      <c r="G24" s="76">
        <v>5</v>
      </c>
      <c r="H24" s="76">
        <v>1</v>
      </c>
      <c r="I24" s="76">
        <v>1</v>
      </c>
      <c r="J24" s="76"/>
      <c r="K24" s="76">
        <v>1</v>
      </c>
      <c r="L24" s="76">
        <v>1</v>
      </c>
      <c r="M24" s="76">
        <v>1</v>
      </c>
      <c r="N24" s="76"/>
      <c r="O24" s="76">
        <v>1</v>
      </c>
      <c r="P24" s="76">
        <v>1</v>
      </c>
      <c r="Q24" s="76"/>
      <c r="R24" s="76"/>
      <c r="S24" s="76">
        <v>1</v>
      </c>
      <c r="T24" s="76"/>
      <c r="U24" s="76">
        <v>1</v>
      </c>
      <c r="V24" s="49">
        <v>1</v>
      </c>
      <c r="W24" s="49"/>
      <c r="X24" s="49"/>
      <c r="Y24" s="49">
        <v>1</v>
      </c>
      <c r="Z24" s="49"/>
      <c r="AA24" s="49"/>
      <c r="AB24" s="49"/>
      <c r="AC24" s="49">
        <v>1</v>
      </c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>
        <v>1</v>
      </c>
      <c r="AO24" s="49"/>
      <c r="AP24" s="49"/>
      <c r="AQ24" s="98"/>
      <c r="AR24" s="98"/>
      <c r="AS24" s="98"/>
    </row>
    <row r="25" spans="1:45" ht="15.75" x14ac:dyDescent="0.25">
      <c r="A25" s="49">
        <v>9</v>
      </c>
      <c r="B25" s="42" t="s">
        <v>116</v>
      </c>
      <c r="C25" s="75">
        <v>2</v>
      </c>
      <c r="D25" s="76">
        <v>1</v>
      </c>
      <c r="E25" s="76"/>
      <c r="F25" s="76"/>
      <c r="G25" s="76">
        <v>5</v>
      </c>
      <c r="H25" s="76">
        <v>1</v>
      </c>
      <c r="I25" s="76">
        <v>1</v>
      </c>
      <c r="J25" s="76"/>
      <c r="K25" s="76">
        <v>1</v>
      </c>
      <c r="L25" s="76">
        <v>1</v>
      </c>
      <c r="M25" s="76">
        <v>1</v>
      </c>
      <c r="N25" s="76"/>
      <c r="O25" s="76">
        <v>1</v>
      </c>
      <c r="P25" s="76">
        <v>1</v>
      </c>
      <c r="Q25" s="76"/>
      <c r="R25" s="76"/>
      <c r="S25" s="76">
        <v>1</v>
      </c>
      <c r="T25" s="76"/>
      <c r="U25" s="76">
        <v>1</v>
      </c>
      <c r="V25" s="49">
        <v>1</v>
      </c>
      <c r="W25" s="49"/>
      <c r="X25" s="49"/>
      <c r="Y25" s="49">
        <v>1</v>
      </c>
      <c r="Z25" s="49"/>
      <c r="AA25" s="49"/>
      <c r="AB25" s="49"/>
      <c r="AC25" s="49">
        <v>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>
        <v>1</v>
      </c>
      <c r="AO25" s="49"/>
      <c r="AP25" s="49"/>
      <c r="AQ25" s="49"/>
      <c r="AR25" s="49"/>
      <c r="AS25" s="49"/>
    </row>
    <row r="26" spans="1:45" ht="15.75" x14ac:dyDescent="0.25">
      <c r="A26" s="49">
        <v>10</v>
      </c>
      <c r="B26" s="42" t="s">
        <v>118</v>
      </c>
      <c r="C26" s="75">
        <v>2</v>
      </c>
      <c r="D26" s="76">
        <v>1</v>
      </c>
      <c r="E26" s="76"/>
      <c r="F26" s="76"/>
      <c r="G26" s="76">
        <v>5</v>
      </c>
      <c r="H26" s="76">
        <v>1</v>
      </c>
      <c r="I26" s="76">
        <v>1</v>
      </c>
      <c r="J26" s="76"/>
      <c r="K26" s="76">
        <v>1</v>
      </c>
      <c r="L26" s="76">
        <v>1</v>
      </c>
      <c r="M26" s="76">
        <v>1</v>
      </c>
      <c r="N26" s="76"/>
      <c r="O26" s="76">
        <v>1</v>
      </c>
      <c r="P26" s="76">
        <v>1</v>
      </c>
      <c r="Q26" s="76"/>
      <c r="R26" s="76"/>
      <c r="S26" s="76">
        <v>1</v>
      </c>
      <c r="T26" s="76"/>
      <c r="U26" s="76">
        <v>1</v>
      </c>
      <c r="V26" s="49">
        <v>1</v>
      </c>
      <c r="W26" s="49"/>
      <c r="X26" s="49"/>
      <c r="Y26" s="49">
        <v>1</v>
      </c>
      <c r="Z26" s="49"/>
      <c r="AA26" s="49"/>
      <c r="AB26" s="49"/>
      <c r="AC26" s="49">
        <v>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>
        <v>1</v>
      </c>
      <c r="AO26" s="49"/>
      <c r="AP26" s="49"/>
      <c r="AQ26" s="49">
        <v>20</v>
      </c>
      <c r="AR26" s="49"/>
      <c r="AS26" s="49"/>
    </row>
    <row r="27" spans="1:45" ht="15.75" x14ac:dyDescent="0.25">
      <c r="A27" s="49">
        <v>11</v>
      </c>
      <c r="B27" s="42" t="s">
        <v>117</v>
      </c>
      <c r="C27" s="75">
        <v>2</v>
      </c>
      <c r="D27" s="76">
        <v>1</v>
      </c>
      <c r="E27" s="76"/>
      <c r="F27" s="76"/>
      <c r="G27" s="76">
        <v>5</v>
      </c>
      <c r="H27" s="76">
        <v>1</v>
      </c>
      <c r="I27" s="76">
        <v>1</v>
      </c>
      <c r="J27" s="76"/>
      <c r="K27" s="76">
        <v>1</v>
      </c>
      <c r="L27" s="76">
        <v>1</v>
      </c>
      <c r="M27" s="76">
        <v>1</v>
      </c>
      <c r="N27" s="76"/>
      <c r="O27" s="76">
        <v>1</v>
      </c>
      <c r="P27" s="76">
        <v>1</v>
      </c>
      <c r="Q27" s="76"/>
      <c r="R27" s="76"/>
      <c r="S27" s="76">
        <v>1</v>
      </c>
      <c r="T27" s="76"/>
      <c r="U27" s="76">
        <v>1</v>
      </c>
      <c r="V27" s="49">
        <v>1</v>
      </c>
      <c r="W27" s="49"/>
      <c r="X27" s="49"/>
      <c r="Y27" s="49">
        <v>1</v>
      </c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>
        <v>1</v>
      </c>
      <c r="AO27" s="49"/>
      <c r="AP27" s="49"/>
      <c r="AQ27" s="49"/>
      <c r="AR27" s="49"/>
      <c r="AS27" s="49"/>
    </row>
    <row r="28" spans="1:45" ht="15.75" x14ac:dyDescent="0.25">
      <c r="A28" s="49">
        <v>12</v>
      </c>
      <c r="B28" s="42" t="s">
        <v>119</v>
      </c>
      <c r="C28" s="75">
        <v>2</v>
      </c>
      <c r="D28" s="76">
        <v>1</v>
      </c>
      <c r="E28" s="76"/>
      <c r="F28" s="76"/>
      <c r="G28" s="76">
        <v>5</v>
      </c>
      <c r="H28" s="76">
        <v>1</v>
      </c>
      <c r="I28" s="76">
        <v>1</v>
      </c>
      <c r="J28" s="76"/>
      <c r="K28" s="76">
        <v>1</v>
      </c>
      <c r="L28" s="76">
        <v>1</v>
      </c>
      <c r="M28" s="76">
        <v>1</v>
      </c>
      <c r="N28" s="76"/>
      <c r="O28" s="76">
        <v>1</v>
      </c>
      <c r="P28" s="76">
        <v>1</v>
      </c>
      <c r="Q28" s="76"/>
      <c r="R28" s="76"/>
      <c r="S28" s="76">
        <v>1</v>
      </c>
      <c r="T28" s="76"/>
      <c r="U28" s="76">
        <v>1</v>
      </c>
      <c r="V28" s="49">
        <v>1</v>
      </c>
      <c r="W28" s="49"/>
      <c r="X28" s="49"/>
      <c r="Y28" s="49">
        <v>1</v>
      </c>
      <c r="Z28" s="49"/>
      <c r="AA28" s="49"/>
      <c r="AB28" s="49"/>
      <c r="AC28" s="49">
        <v>1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>
        <v>1</v>
      </c>
      <c r="AO28" s="49"/>
      <c r="AP28" s="49"/>
      <c r="AQ28" s="49">
        <v>20</v>
      </c>
      <c r="AR28" s="49"/>
      <c r="AS28" s="49"/>
    </row>
    <row r="29" spans="1:45" ht="15.75" x14ac:dyDescent="0.25">
      <c r="A29" s="49">
        <v>13</v>
      </c>
      <c r="B29" s="42" t="s">
        <v>120</v>
      </c>
      <c r="C29" s="75">
        <v>2</v>
      </c>
      <c r="D29" s="76">
        <v>1</v>
      </c>
      <c r="E29" s="76"/>
      <c r="F29" s="76"/>
      <c r="G29" s="76">
        <v>5</v>
      </c>
      <c r="H29" s="76">
        <v>1</v>
      </c>
      <c r="I29" s="76">
        <v>1</v>
      </c>
      <c r="J29" s="76"/>
      <c r="K29" s="76">
        <v>1</v>
      </c>
      <c r="L29" s="76">
        <v>1</v>
      </c>
      <c r="M29" s="76">
        <v>1</v>
      </c>
      <c r="N29" s="76"/>
      <c r="O29" s="76">
        <v>1</v>
      </c>
      <c r="P29" s="76">
        <v>1</v>
      </c>
      <c r="Q29" s="76"/>
      <c r="R29" s="76"/>
      <c r="S29" s="76">
        <v>1</v>
      </c>
      <c r="T29" s="76"/>
      <c r="U29" s="76">
        <v>1</v>
      </c>
      <c r="V29" s="49">
        <v>1</v>
      </c>
      <c r="W29" s="49"/>
      <c r="X29" s="49"/>
      <c r="Y29" s="49">
        <v>1</v>
      </c>
      <c r="Z29" s="49"/>
      <c r="AA29" s="49"/>
      <c r="AB29" s="49"/>
      <c r="AC29" s="49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>
        <v>1</v>
      </c>
      <c r="AO29" s="49"/>
      <c r="AP29" s="49"/>
      <c r="AQ29" s="49">
        <v>20</v>
      </c>
      <c r="AR29" s="49"/>
      <c r="AS29" s="49"/>
    </row>
    <row r="30" spans="1:45" ht="15.75" x14ac:dyDescent="0.25">
      <c r="A30" s="49">
        <v>14</v>
      </c>
      <c r="B30" s="42" t="s">
        <v>122</v>
      </c>
      <c r="C30" s="75">
        <v>2</v>
      </c>
      <c r="D30" s="76">
        <v>1</v>
      </c>
      <c r="E30" s="76"/>
      <c r="F30" s="76"/>
      <c r="G30" s="76">
        <v>5</v>
      </c>
      <c r="H30" s="76">
        <v>1</v>
      </c>
      <c r="I30" s="76">
        <v>1</v>
      </c>
      <c r="J30" s="76"/>
      <c r="K30" s="76">
        <v>1</v>
      </c>
      <c r="L30" s="76">
        <v>1</v>
      </c>
      <c r="M30" s="76">
        <v>1</v>
      </c>
      <c r="N30" s="76"/>
      <c r="O30" s="76">
        <v>1</v>
      </c>
      <c r="P30" s="76">
        <v>1</v>
      </c>
      <c r="Q30" s="76"/>
      <c r="R30" s="76"/>
      <c r="S30" s="76">
        <v>1</v>
      </c>
      <c r="T30" s="76"/>
      <c r="U30" s="76">
        <v>1</v>
      </c>
      <c r="V30" s="49">
        <v>1</v>
      </c>
      <c r="W30" s="49"/>
      <c r="X30" s="49"/>
      <c r="Y30" s="49">
        <v>1</v>
      </c>
      <c r="Z30" s="49"/>
      <c r="AA30" s="49"/>
      <c r="AB30" s="49"/>
      <c r="AC30" s="49">
        <v>1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>
        <v>1</v>
      </c>
      <c r="AO30" s="49"/>
      <c r="AP30" s="49"/>
      <c r="AQ30" s="49">
        <v>20</v>
      </c>
      <c r="AR30" s="49"/>
      <c r="AS30" s="49"/>
    </row>
    <row r="31" spans="1:45" ht="15.75" x14ac:dyDescent="0.25">
      <c r="A31" s="49">
        <v>15</v>
      </c>
      <c r="B31" s="42" t="s">
        <v>123</v>
      </c>
      <c r="C31" s="75">
        <v>2</v>
      </c>
      <c r="D31" s="76">
        <v>1</v>
      </c>
      <c r="E31" s="76"/>
      <c r="F31" s="76"/>
      <c r="G31" s="76">
        <v>5</v>
      </c>
      <c r="H31" s="76">
        <v>1</v>
      </c>
      <c r="I31" s="76">
        <v>1</v>
      </c>
      <c r="J31" s="76"/>
      <c r="K31" s="76">
        <v>1</v>
      </c>
      <c r="L31" s="76">
        <v>1</v>
      </c>
      <c r="M31" s="76">
        <v>1</v>
      </c>
      <c r="N31" s="76"/>
      <c r="O31" s="76">
        <v>1</v>
      </c>
      <c r="P31" s="76">
        <v>1</v>
      </c>
      <c r="Q31" s="76"/>
      <c r="R31" s="76"/>
      <c r="S31" s="76">
        <v>1</v>
      </c>
      <c r="T31" s="76"/>
      <c r="U31" s="76">
        <v>1</v>
      </c>
      <c r="V31" s="49">
        <v>1</v>
      </c>
      <c r="W31" s="49"/>
      <c r="X31" s="49"/>
      <c r="Y31" s="49">
        <v>1</v>
      </c>
      <c r="Z31" s="49"/>
      <c r="AA31" s="49"/>
      <c r="AB31" s="49"/>
      <c r="AC31" s="49">
        <v>1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>
        <v>1</v>
      </c>
      <c r="AO31" s="49"/>
      <c r="AP31" s="49"/>
      <c r="AQ31" s="49"/>
      <c r="AR31" s="49"/>
      <c r="AS31" s="49"/>
    </row>
    <row r="32" spans="1:45" ht="15.75" x14ac:dyDescent="0.25">
      <c r="A32" s="49">
        <v>16</v>
      </c>
      <c r="B32" s="42" t="s">
        <v>124</v>
      </c>
      <c r="C32" s="75">
        <v>2</v>
      </c>
      <c r="D32" s="76">
        <v>1</v>
      </c>
      <c r="E32" s="76"/>
      <c r="F32" s="76"/>
      <c r="G32" s="76">
        <v>5</v>
      </c>
      <c r="H32" s="76">
        <v>1</v>
      </c>
      <c r="I32" s="76">
        <v>1</v>
      </c>
      <c r="J32" s="76"/>
      <c r="K32" s="76">
        <v>1</v>
      </c>
      <c r="L32" s="76">
        <v>1</v>
      </c>
      <c r="M32" s="76">
        <v>1</v>
      </c>
      <c r="N32" s="76"/>
      <c r="O32" s="76">
        <v>1</v>
      </c>
      <c r="P32" s="76">
        <v>1</v>
      </c>
      <c r="Q32" s="76"/>
      <c r="R32" s="76"/>
      <c r="S32" s="76">
        <v>1</v>
      </c>
      <c r="T32" s="76"/>
      <c r="U32" s="76">
        <v>1</v>
      </c>
      <c r="V32" s="49">
        <v>1</v>
      </c>
      <c r="W32" s="49"/>
      <c r="X32" s="49"/>
      <c r="Y32" s="49">
        <v>1</v>
      </c>
      <c r="Z32" s="49"/>
      <c r="AA32" s="49"/>
      <c r="AB32" s="49"/>
      <c r="AC32" s="49">
        <v>1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>
        <v>1</v>
      </c>
      <c r="AO32" s="49"/>
      <c r="AP32" s="49"/>
      <c r="AQ32" s="49">
        <v>20</v>
      </c>
      <c r="AR32" s="49"/>
      <c r="AS32" s="49"/>
    </row>
    <row r="33" spans="1:45" ht="15.75" x14ac:dyDescent="0.25">
      <c r="A33" s="49">
        <v>17</v>
      </c>
      <c r="B33" s="42" t="s">
        <v>125</v>
      </c>
      <c r="C33" s="75">
        <v>2</v>
      </c>
      <c r="D33" s="76">
        <v>1</v>
      </c>
      <c r="E33" s="76"/>
      <c r="F33" s="76"/>
      <c r="G33" s="76">
        <v>5</v>
      </c>
      <c r="H33" s="76">
        <v>1</v>
      </c>
      <c r="I33" s="76">
        <v>1</v>
      </c>
      <c r="J33" s="76"/>
      <c r="K33" s="76">
        <v>1</v>
      </c>
      <c r="L33" s="76">
        <v>1</v>
      </c>
      <c r="M33" s="76">
        <v>1</v>
      </c>
      <c r="N33" s="76"/>
      <c r="O33" s="76">
        <v>1</v>
      </c>
      <c r="P33" s="76">
        <v>1</v>
      </c>
      <c r="Q33" s="76"/>
      <c r="R33" s="76"/>
      <c r="S33" s="76">
        <v>1</v>
      </c>
      <c r="T33" s="76"/>
      <c r="U33" s="76">
        <v>1</v>
      </c>
      <c r="V33" s="49">
        <v>1</v>
      </c>
      <c r="W33" s="49"/>
      <c r="X33" s="49"/>
      <c r="Y33" s="49">
        <v>1</v>
      </c>
      <c r="Z33" s="49"/>
      <c r="AA33" s="49"/>
      <c r="AB33" s="49"/>
      <c r="AC33" s="49">
        <v>1</v>
      </c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>
        <v>1</v>
      </c>
      <c r="AO33" s="49"/>
      <c r="AP33" s="49"/>
      <c r="AQ33" s="49"/>
      <c r="AR33" s="49"/>
      <c r="AS33" s="49"/>
    </row>
    <row r="34" spans="1:45" ht="15.75" x14ac:dyDescent="0.25">
      <c r="A34" s="49">
        <v>18</v>
      </c>
      <c r="B34" s="42" t="s">
        <v>127</v>
      </c>
      <c r="C34" s="75">
        <v>2</v>
      </c>
      <c r="D34" s="76">
        <v>1</v>
      </c>
      <c r="E34" s="76"/>
      <c r="F34" s="76"/>
      <c r="G34" s="76">
        <v>5</v>
      </c>
      <c r="H34" s="76">
        <v>1</v>
      </c>
      <c r="I34" s="76">
        <v>1</v>
      </c>
      <c r="J34" s="76"/>
      <c r="K34" s="76">
        <v>1</v>
      </c>
      <c r="L34" s="76">
        <v>1</v>
      </c>
      <c r="M34" s="76">
        <v>1</v>
      </c>
      <c r="N34" s="76"/>
      <c r="O34" s="76">
        <v>1</v>
      </c>
      <c r="P34" s="76">
        <v>1</v>
      </c>
      <c r="Q34" s="76"/>
      <c r="R34" s="76"/>
      <c r="S34" s="76">
        <v>1</v>
      </c>
      <c r="T34" s="76"/>
      <c r="U34" s="76">
        <v>1</v>
      </c>
      <c r="V34" s="49">
        <v>1</v>
      </c>
      <c r="W34" s="49"/>
      <c r="X34" s="49"/>
      <c r="Y34" s="49">
        <v>1</v>
      </c>
      <c r="Z34" s="49"/>
      <c r="AA34" s="49"/>
      <c r="AB34" s="49"/>
      <c r="AC34" s="49">
        <v>1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>
        <v>1</v>
      </c>
      <c r="AO34" s="49"/>
      <c r="AP34" s="49"/>
      <c r="AQ34" s="49"/>
      <c r="AR34" s="49"/>
      <c r="AS34" s="49"/>
    </row>
    <row r="35" spans="1:45" ht="15.75" x14ac:dyDescent="0.25">
      <c r="A35" s="49">
        <v>19</v>
      </c>
      <c r="B35" s="42" t="s">
        <v>129</v>
      </c>
      <c r="C35" s="75">
        <v>2</v>
      </c>
      <c r="D35" s="76">
        <v>1</v>
      </c>
      <c r="E35" s="76"/>
      <c r="F35" s="76"/>
      <c r="G35" s="76">
        <v>5</v>
      </c>
      <c r="H35" s="76">
        <v>1</v>
      </c>
      <c r="I35" s="76">
        <v>1</v>
      </c>
      <c r="J35" s="76"/>
      <c r="K35" s="76">
        <v>1</v>
      </c>
      <c r="L35" s="76">
        <v>1</v>
      </c>
      <c r="M35" s="76">
        <v>1</v>
      </c>
      <c r="N35" s="76"/>
      <c r="O35" s="76">
        <v>1</v>
      </c>
      <c r="P35" s="76">
        <v>1</v>
      </c>
      <c r="Q35" s="76"/>
      <c r="R35" s="76"/>
      <c r="S35" s="76">
        <v>1</v>
      </c>
      <c r="T35" s="76"/>
      <c r="U35" s="76">
        <v>1</v>
      </c>
      <c r="V35" s="49">
        <v>1</v>
      </c>
      <c r="W35" s="49"/>
      <c r="X35" s="49"/>
      <c r="Y35" s="49">
        <v>1</v>
      </c>
      <c r="Z35" s="49"/>
      <c r="AA35" s="49"/>
      <c r="AB35" s="49"/>
      <c r="AC35" s="49">
        <v>1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>
        <v>1</v>
      </c>
      <c r="AO35" s="49"/>
      <c r="AP35" s="49"/>
      <c r="AQ35" s="49"/>
      <c r="AR35" s="49"/>
      <c r="AS35" s="49"/>
    </row>
    <row r="36" spans="1:45" ht="15.75" x14ac:dyDescent="0.25">
      <c r="A36" s="49">
        <v>20</v>
      </c>
      <c r="B36" s="42" t="s">
        <v>130</v>
      </c>
      <c r="C36" s="75">
        <v>2</v>
      </c>
      <c r="D36" s="76">
        <v>1</v>
      </c>
      <c r="E36" s="76"/>
      <c r="F36" s="76"/>
      <c r="G36" s="76">
        <v>5</v>
      </c>
      <c r="H36" s="76">
        <v>1</v>
      </c>
      <c r="I36" s="76">
        <v>1</v>
      </c>
      <c r="J36" s="76"/>
      <c r="K36" s="76">
        <v>1</v>
      </c>
      <c r="L36" s="76">
        <v>1</v>
      </c>
      <c r="M36" s="76">
        <v>1</v>
      </c>
      <c r="N36" s="76"/>
      <c r="O36" s="76">
        <v>1</v>
      </c>
      <c r="P36" s="76">
        <v>1</v>
      </c>
      <c r="Q36" s="76"/>
      <c r="R36" s="76"/>
      <c r="S36" s="76">
        <v>1</v>
      </c>
      <c r="T36" s="76"/>
      <c r="U36" s="76">
        <v>1</v>
      </c>
      <c r="V36" s="49">
        <v>1</v>
      </c>
      <c r="W36" s="49"/>
      <c r="X36" s="49"/>
      <c r="Y36" s="49">
        <v>1</v>
      </c>
      <c r="Z36" s="49"/>
      <c r="AA36" s="49"/>
      <c r="AB36" s="49"/>
      <c r="AC36" s="49">
        <v>1</v>
      </c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>
        <v>1</v>
      </c>
      <c r="AO36" s="49"/>
      <c r="AP36" s="49"/>
      <c r="AQ36" s="49"/>
      <c r="AR36" s="49"/>
      <c r="AS36" s="49"/>
    </row>
    <row r="37" spans="1:45" ht="15.75" x14ac:dyDescent="0.25">
      <c r="A37" s="49">
        <v>21</v>
      </c>
      <c r="B37" s="42" t="s">
        <v>131</v>
      </c>
      <c r="C37" s="75">
        <v>2</v>
      </c>
      <c r="D37" s="76">
        <v>1</v>
      </c>
      <c r="E37" s="76"/>
      <c r="F37" s="76"/>
      <c r="G37" s="76">
        <v>5</v>
      </c>
      <c r="H37" s="76">
        <v>1</v>
      </c>
      <c r="I37" s="76">
        <v>1</v>
      </c>
      <c r="J37" s="76"/>
      <c r="K37" s="76">
        <v>1</v>
      </c>
      <c r="L37" s="76">
        <v>1</v>
      </c>
      <c r="M37" s="76">
        <v>1</v>
      </c>
      <c r="N37" s="76"/>
      <c r="O37" s="76">
        <v>1</v>
      </c>
      <c r="P37" s="76">
        <v>1</v>
      </c>
      <c r="Q37" s="76"/>
      <c r="R37" s="76"/>
      <c r="S37" s="76">
        <v>1</v>
      </c>
      <c r="T37" s="76"/>
      <c r="U37" s="76">
        <v>1</v>
      </c>
      <c r="V37" s="49">
        <v>1</v>
      </c>
      <c r="W37" s="49"/>
      <c r="X37" s="49"/>
      <c r="Y37" s="49">
        <v>1</v>
      </c>
      <c r="Z37" s="49"/>
      <c r="AA37" s="49"/>
      <c r="AB37" s="49"/>
      <c r="AC37" s="49">
        <v>1</v>
      </c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>
        <v>1</v>
      </c>
      <c r="AO37" s="49"/>
      <c r="AP37" s="49"/>
      <c r="AQ37" s="49">
        <v>20</v>
      </c>
      <c r="AR37" s="49"/>
      <c r="AS37" s="49"/>
    </row>
    <row r="38" spans="1:45" ht="15.75" x14ac:dyDescent="0.25">
      <c r="A38" s="49">
        <v>22</v>
      </c>
      <c r="B38" s="42" t="s">
        <v>132</v>
      </c>
      <c r="C38" s="75">
        <v>2</v>
      </c>
      <c r="D38" s="76">
        <v>1</v>
      </c>
      <c r="E38" s="76"/>
      <c r="F38" s="76"/>
      <c r="G38" s="76">
        <v>5</v>
      </c>
      <c r="H38" s="76">
        <v>1</v>
      </c>
      <c r="I38" s="76">
        <v>1</v>
      </c>
      <c r="J38" s="76"/>
      <c r="K38" s="76">
        <v>1</v>
      </c>
      <c r="L38" s="76">
        <v>1</v>
      </c>
      <c r="M38" s="76">
        <v>1</v>
      </c>
      <c r="N38" s="76"/>
      <c r="O38" s="76">
        <v>1</v>
      </c>
      <c r="P38" s="76">
        <v>1</v>
      </c>
      <c r="Q38" s="76"/>
      <c r="R38" s="76"/>
      <c r="S38" s="76">
        <v>1</v>
      </c>
      <c r="T38" s="76"/>
      <c r="U38" s="76">
        <v>1</v>
      </c>
      <c r="V38" s="49">
        <v>1</v>
      </c>
      <c r="W38" s="49"/>
      <c r="X38" s="49"/>
      <c r="Y38" s="49">
        <v>1</v>
      </c>
      <c r="Z38" s="49"/>
      <c r="AA38" s="49"/>
      <c r="AB38" s="49"/>
      <c r="AC38" s="49">
        <v>1</v>
      </c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>
        <v>1</v>
      </c>
      <c r="AO38" s="49"/>
      <c r="AP38" s="49"/>
      <c r="AQ38" s="49"/>
      <c r="AR38" s="49"/>
      <c r="AS38" s="49"/>
    </row>
    <row r="39" spans="1:45" ht="15.75" x14ac:dyDescent="0.25">
      <c r="A39" s="49">
        <v>23</v>
      </c>
      <c r="B39" s="42" t="s">
        <v>133</v>
      </c>
      <c r="C39" s="75">
        <v>2</v>
      </c>
      <c r="D39" s="76">
        <v>1</v>
      </c>
      <c r="E39" s="76"/>
      <c r="F39" s="76"/>
      <c r="G39" s="76">
        <v>5</v>
      </c>
      <c r="H39" s="76">
        <v>1</v>
      </c>
      <c r="I39" s="76">
        <v>1</v>
      </c>
      <c r="J39" s="76"/>
      <c r="K39" s="76">
        <v>1</v>
      </c>
      <c r="L39" s="76">
        <v>1</v>
      </c>
      <c r="M39" s="76">
        <v>1</v>
      </c>
      <c r="N39" s="76"/>
      <c r="O39" s="76">
        <v>1</v>
      </c>
      <c r="P39" s="76">
        <v>1</v>
      </c>
      <c r="Q39" s="76"/>
      <c r="R39" s="76"/>
      <c r="S39" s="76">
        <v>1</v>
      </c>
      <c r="T39" s="76"/>
      <c r="U39" s="76">
        <v>1</v>
      </c>
      <c r="V39" s="49">
        <v>1</v>
      </c>
      <c r="W39" s="49"/>
      <c r="X39" s="49"/>
      <c r="Y39" s="49">
        <v>1</v>
      </c>
      <c r="Z39" s="49"/>
      <c r="AA39" s="49"/>
      <c r="AB39" s="49"/>
      <c r="AC39" s="49">
        <v>1</v>
      </c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>
        <v>1</v>
      </c>
      <c r="AO39" s="49"/>
      <c r="AP39" s="49"/>
      <c r="AQ39" s="49">
        <v>20</v>
      </c>
      <c r="AR39" s="49"/>
      <c r="AS39" s="49"/>
    </row>
    <row r="40" spans="1:45" ht="15.75" x14ac:dyDescent="0.25">
      <c r="A40" s="49">
        <v>24</v>
      </c>
      <c r="B40" s="42" t="s">
        <v>134</v>
      </c>
      <c r="C40" s="75">
        <v>2</v>
      </c>
      <c r="D40" s="76">
        <v>1</v>
      </c>
      <c r="E40" s="76"/>
      <c r="F40" s="76"/>
      <c r="G40" s="76">
        <v>5</v>
      </c>
      <c r="H40" s="76">
        <v>1</v>
      </c>
      <c r="I40" s="76">
        <v>1</v>
      </c>
      <c r="J40" s="76"/>
      <c r="K40" s="76">
        <v>1</v>
      </c>
      <c r="L40" s="76">
        <v>1</v>
      </c>
      <c r="M40" s="76">
        <v>1</v>
      </c>
      <c r="N40" s="76"/>
      <c r="O40" s="76">
        <v>1</v>
      </c>
      <c r="P40" s="76">
        <v>1</v>
      </c>
      <c r="Q40" s="76"/>
      <c r="R40" s="76"/>
      <c r="S40" s="76">
        <v>1</v>
      </c>
      <c r="T40" s="76"/>
      <c r="U40" s="76">
        <v>1</v>
      </c>
      <c r="V40" s="49">
        <v>1</v>
      </c>
      <c r="W40" s="49"/>
      <c r="X40" s="49"/>
      <c r="Y40" s="49">
        <v>1</v>
      </c>
      <c r="Z40" s="49"/>
      <c r="AA40" s="49"/>
      <c r="AB40" s="49"/>
      <c r="AC40" s="49">
        <v>1</v>
      </c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>
        <v>1</v>
      </c>
      <c r="AO40" s="49"/>
      <c r="AP40" s="49"/>
      <c r="AQ40" s="49"/>
      <c r="AR40" s="49"/>
      <c r="AS40" s="49"/>
    </row>
    <row r="41" spans="1:45" ht="15.75" x14ac:dyDescent="0.25">
      <c r="A41" s="49">
        <v>25</v>
      </c>
      <c r="B41" s="42" t="s">
        <v>135</v>
      </c>
      <c r="C41" s="75">
        <v>2</v>
      </c>
      <c r="D41" s="76">
        <v>1</v>
      </c>
      <c r="E41" s="76"/>
      <c r="F41" s="76"/>
      <c r="G41" s="76">
        <v>5</v>
      </c>
      <c r="H41" s="76">
        <v>1</v>
      </c>
      <c r="I41" s="76">
        <v>1</v>
      </c>
      <c r="J41" s="76"/>
      <c r="K41" s="76">
        <v>1</v>
      </c>
      <c r="L41" s="76">
        <v>1</v>
      </c>
      <c r="M41" s="76">
        <v>1</v>
      </c>
      <c r="N41" s="76"/>
      <c r="O41" s="76">
        <v>1</v>
      </c>
      <c r="P41" s="76">
        <v>1</v>
      </c>
      <c r="Q41" s="76"/>
      <c r="R41" s="76"/>
      <c r="S41" s="76">
        <v>1</v>
      </c>
      <c r="T41" s="76"/>
      <c r="U41" s="76">
        <v>1</v>
      </c>
      <c r="V41" s="49">
        <v>1</v>
      </c>
      <c r="W41" s="49"/>
      <c r="X41" s="49"/>
      <c r="Y41" s="49">
        <v>1</v>
      </c>
      <c r="Z41" s="49"/>
      <c r="AA41" s="49"/>
      <c r="AB41" s="49"/>
      <c r="AC41" s="49">
        <v>1</v>
      </c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>
        <v>1</v>
      </c>
      <c r="AO41" s="49"/>
      <c r="AP41" s="49"/>
      <c r="AQ41" s="49">
        <v>20</v>
      </c>
      <c r="AR41" s="49"/>
      <c r="AS41" s="49"/>
    </row>
    <row r="42" spans="1:45" ht="15.75" x14ac:dyDescent="0.25">
      <c r="A42" s="49">
        <v>26</v>
      </c>
      <c r="B42" s="42" t="s">
        <v>136</v>
      </c>
      <c r="C42" s="75">
        <v>2</v>
      </c>
      <c r="D42" s="76">
        <v>1</v>
      </c>
      <c r="E42" s="76"/>
      <c r="F42" s="76"/>
      <c r="G42" s="76">
        <v>5</v>
      </c>
      <c r="H42" s="76">
        <v>1</v>
      </c>
      <c r="I42" s="76">
        <v>1</v>
      </c>
      <c r="J42" s="76"/>
      <c r="K42" s="76">
        <v>1</v>
      </c>
      <c r="L42" s="76">
        <v>1</v>
      </c>
      <c r="M42" s="76">
        <v>1</v>
      </c>
      <c r="N42" s="76"/>
      <c r="O42" s="76">
        <v>1</v>
      </c>
      <c r="P42" s="76">
        <v>1</v>
      </c>
      <c r="Q42" s="76"/>
      <c r="R42" s="76"/>
      <c r="S42" s="76">
        <v>1</v>
      </c>
      <c r="T42" s="76"/>
      <c r="U42" s="76">
        <v>1</v>
      </c>
      <c r="V42" s="49">
        <v>1</v>
      </c>
      <c r="W42" s="49"/>
      <c r="X42" s="49"/>
      <c r="Y42" s="49">
        <v>1</v>
      </c>
      <c r="Z42" s="49"/>
      <c r="AA42" s="49"/>
      <c r="AB42" s="49"/>
      <c r="AC42" s="49">
        <v>1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>
        <v>1</v>
      </c>
      <c r="AO42" s="49"/>
      <c r="AP42" s="49"/>
      <c r="AQ42" s="49"/>
      <c r="AR42" s="49"/>
      <c r="AS42" s="49"/>
    </row>
    <row r="43" spans="1:45" ht="15.75" x14ac:dyDescent="0.25">
      <c r="A43" s="49">
        <v>27</v>
      </c>
      <c r="B43" s="42" t="s">
        <v>137</v>
      </c>
      <c r="C43" s="75">
        <v>2</v>
      </c>
      <c r="D43" s="76">
        <v>1</v>
      </c>
      <c r="E43" s="76"/>
      <c r="F43" s="76"/>
      <c r="G43" s="76">
        <v>5</v>
      </c>
      <c r="H43" s="76">
        <v>1</v>
      </c>
      <c r="I43" s="76">
        <v>1</v>
      </c>
      <c r="J43" s="76"/>
      <c r="K43" s="76">
        <v>1</v>
      </c>
      <c r="L43" s="76">
        <v>1</v>
      </c>
      <c r="M43" s="76">
        <v>1</v>
      </c>
      <c r="N43" s="76"/>
      <c r="O43" s="76">
        <v>1</v>
      </c>
      <c r="P43" s="76">
        <v>1</v>
      </c>
      <c r="Q43" s="76"/>
      <c r="R43" s="76"/>
      <c r="S43" s="76">
        <v>1</v>
      </c>
      <c r="T43" s="76"/>
      <c r="U43" s="76">
        <v>1</v>
      </c>
      <c r="V43" s="49">
        <v>1</v>
      </c>
      <c r="W43" s="49"/>
      <c r="X43" s="49"/>
      <c r="Y43" s="49">
        <v>1</v>
      </c>
      <c r="Z43" s="49"/>
      <c r="AA43" s="49"/>
      <c r="AB43" s="49"/>
      <c r="AC43" s="49">
        <v>1</v>
      </c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>
        <v>1</v>
      </c>
      <c r="AO43" s="49"/>
      <c r="AP43" s="49"/>
      <c r="AQ43" s="49"/>
      <c r="AR43" s="49"/>
      <c r="AS43" s="49"/>
    </row>
    <row r="44" spans="1:45" ht="15.75" x14ac:dyDescent="0.25">
      <c r="A44" s="49">
        <v>28</v>
      </c>
      <c r="B44" s="42" t="s">
        <v>138</v>
      </c>
      <c r="C44" s="75">
        <v>2</v>
      </c>
      <c r="D44" s="76">
        <v>1</v>
      </c>
      <c r="E44" s="76"/>
      <c r="F44" s="76"/>
      <c r="G44" s="76">
        <v>5</v>
      </c>
      <c r="H44" s="76">
        <v>1</v>
      </c>
      <c r="I44" s="76">
        <v>1</v>
      </c>
      <c r="J44" s="76"/>
      <c r="K44" s="76">
        <v>1</v>
      </c>
      <c r="L44" s="76">
        <v>1</v>
      </c>
      <c r="M44" s="76">
        <v>1</v>
      </c>
      <c r="N44" s="76"/>
      <c r="O44" s="76">
        <v>1</v>
      </c>
      <c r="P44" s="76">
        <v>1</v>
      </c>
      <c r="Q44" s="76"/>
      <c r="R44" s="76"/>
      <c r="S44" s="76">
        <v>1</v>
      </c>
      <c r="T44" s="76"/>
      <c r="U44" s="76">
        <v>1</v>
      </c>
      <c r="V44" s="49">
        <v>1</v>
      </c>
      <c r="W44" s="49"/>
      <c r="X44" s="49"/>
      <c r="Y44" s="49">
        <v>1</v>
      </c>
      <c r="Z44" s="49"/>
      <c r="AA44" s="49"/>
      <c r="AB44" s="49"/>
      <c r="AC44" s="49">
        <v>1</v>
      </c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>
        <v>1</v>
      </c>
      <c r="AO44" s="49"/>
      <c r="AP44" s="49"/>
      <c r="AQ44" s="49"/>
      <c r="AR44" s="49"/>
      <c r="AS44" s="49"/>
    </row>
    <row r="45" spans="1:45" ht="15.75" x14ac:dyDescent="0.25">
      <c r="A45" s="49">
        <v>29</v>
      </c>
      <c r="B45" s="42" t="s">
        <v>139</v>
      </c>
      <c r="C45" s="75">
        <v>2</v>
      </c>
      <c r="D45" s="76">
        <v>1</v>
      </c>
      <c r="E45" s="76"/>
      <c r="F45" s="76"/>
      <c r="G45" s="76">
        <v>5</v>
      </c>
      <c r="H45" s="76">
        <v>1</v>
      </c>
      <c r="I45" s="76">
        <v>1</v>
      </c>
      <c r="J45" s="76"/>
      <c r="K45" s="76">
        <v>1</v>
      </c>
      <c r="L45" s="76">
        <v>1</v>
      </c>
      <c r="M45" s="76">
        <v>1</v>
      </c>
      <c r="N45" s="76"/>
      <c r="O45" s="76">
        <v>1</v>
      </c>
      <c r="P45" s="76">
        <v>1</v>
      </c>
      <c r="Q45" s="76"/>
      <c r="R45" s="76"/>
      <c r="S45" s="76">
        <v>1</v>
      </c>
      <c r="T45" s="76"/>
      <c r="U45" s="76">
        <v>1</v>
      </c>
      <c r="V45" s="49">
        <v>1</v>
      </c>
      <c r="W45" s="49"/>
      <c r="X45" s="49"/>
      <c r="Y45" s="49">
        <v>1</v>
      </c>
      <c r="Z45" s="49"/>
      <c r="AA45" s="49"/>
      <c r="AB45" s="49"/>
      <c r="AC45" s="49">
        <v>1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>
        <v>1</v>
      </c>
      <c r="AO45" s="49"/>
      <c r="AP45" s="49"/>
      <c r="AQ45" s="49"/>
      <c r="AR45" s="49"/>
      <c r="AS45" s="49"/>
    </row>
    <row r="46" spans="1:45" ht="15.75" x14ac:dyDescent="0.25">
      <c r="A46" s="49">
        <v>30</v>
      </c>
      <c r="B46" s="42" t="s">
        <v>141</v>
      </c>
      <c r="C46" s="75">
        <v>2</v>
      </c>
      <c r="D46" s="76">
        <v>1</v>
      </c>
      <c r="E46" s="76"/>
      <c r="F46" s="76"/>
      <c r="G46" s="76">
        <v>5</v>
      </c>
      <c r="H46" s="76">
        <v>1</v>
      </c>
      <c r="I46" s="76">
        <v>1</v>
      </c>
      <c r="J46" s="76"/>
      <c r="K46" s="76">
        <v>1</v>
      </c>
      <c r="L46" s="76">
        <v>1</v>
      </c>
      <c r="M46" s="76">
        <v>1</v>
      </c>
      <c r="N46" s="76"/>
      <c r="O46" s="76">
        <v>1</v>
      </c>
      <c r="P46" s="76">
        <v>1</v>
      </c>
      <c r="Q46" s="76"/>
      <c r="R46" s="76"/>
      <c r="S46" s="76">
        <v>1</v>
      </c>
      <c r="T46" s="76"/>
      <c r="U46" s="76">
        <v>1</v>
      </c>
      <c r="V46" s="49">
        <v>1</v>
      </c>
      <c r="W46" s="49"/>
      <c r="X46" s="49"/>
      <c r="Y46" s="49">
        <v>1</v>
      </c>
      <c r="Z46" s="49"/>
      <c r="AA46" s="49"/>
      <c r="AB46" s="49"/>
      <c r="AC46" s="49">
        <v>1</v>
      </c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>
        <v>1</v>
      </c>
      <c r="AO46" s="49"/>
      <c r="AP46" s="49"/>
      <c r="AQ46" s="49"/>
      <c r="AR46" s="49"/>
      <c r="AS46" s="49"/>
    </row>
    <row r="47" spans="1:45" ht="15.75" x14ac:dyDescent="0.25">
      <c r="A47" s="49">
        <v>31</v>
      </c>
      <c r="B47" s="42" t="s">
        <v>321</v>
      </c>
      <c r="C47" s="75">
        <v>2</v>
      </c>
      <c r="D47" s="76">
        <v>1</v>
      </c>
      <c r="E47" s="76"/>
      <c r="F47" s="76"/>
      <c r="G47" s="76">
        <v>5</v>
      </c>
      <c r="H47" s="76">
        <v>1</v>
      </c>
      <c r="I47" s="76">
        <v>1</v>
      </c>
      <c r="J47" s="76"/>
      <c r="K47" s="76">
        <v>1</v>
      </c>
      <c r="L47" s="76">
        <v>1</v>
      </c>
      <c r="M47" s="76">
        <v>1</v>
      </c>
      <c r="N47" s="76"/>
      <c r="O47" s="76">
        <v>1</v>
      </c>
      <c r="P47" s="76">
        <v>1</v>
      </c>
      <c r="Q47" s="76"/>
      <c r="R47" s="76"/>
      <c r="S47" s="76">
        <v>1</v>
      </c>
      <c r="T47" s="76"/>
      <c r="U47" s="76">
        <v>1</v>
      </c>
      <c r="V47" s="49">
        <v>1</v>
      </c>
      <c r="W47" s="49"/>
      <c r="X47" s="49"/>
      <c r="Y47" s="49">
        <v>1</v>
      </c>
      <c r="Z47" s="49"/>
      <c r="AA47" s="49"/>
      <c r="AB47" s="49"/>
      <c r="AC47" s="49">
        <v>1</v>
      </c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>
        <v>1</v>
      </c>
      <c r="AO47" s="49"/>
      <c r="AP47" s="49"/>
      <c r="AQ47" s="49"/>
      <c r="AR47" s="49"/>
      <c r="AS47" s="49"/>
    </row>
    <row r="48" spans="1:45" ht="15.75" x14ac:dyDescent="0.25">
      <c r="A48" s="49">
        <v>32</v>
      </c>
      <c r="B48" s="42" t="s">
        <v>142</v>
      </c>
      <c r="C48" s="75">
        <v>2</v>
      </c>
      <c r="D48" s="76">
        <v>1</v>
      </c>
      <c r="E48" s="76"/>
      <c r="F48" s="76"/>
      <c r="G48" s="76">
        <v>5</v>
      </c>
      <c r="H48" s="76">
        <v>1</v>
      </c>
      <c r="I48" s="76">
        <v>1</v>
      </c>
      <c r="J48" s="76"/>
      <c r="K48" s="76">
        <v>1</v>
      </c>
      <c r="L48" s="76">
        <v>1</v>
      </c>
      <c r="M48" s="76">
        <v>1</v>
      </c>
      <c r="N48" s="76"/>
      <c r="O48" s="76">
        <v>1</v>
      </c>
      <c r="P48" s="76">
        <v>1</v>
      </c>
      <c r="Q48" s="76"/>
      <c r="R48" s="76"/>
      <c r="S48" s="76">
        <v>1</v>
      </c>
      <c r="T48" s="76"/>
      <c r="U48" s="76">
        <v>1</v>
      </c>
      <c r="V48" s="49">
        <v>1</v>
      </c>
      <c r="W48" s="49"/>
      <c r="X48" s="49"/>
      <c r="Y48" s="49">
        <v>1</v>
      </c>
      <c r="Z48" s="49"/>
      <c r="AA48" s="49"/>
      <c r="AB48" s="49"/>
      <c r="AC48" s="49">
        <v>1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>
        <v>1</v>
      </c>
      <c r="AO48" s="49"/>
      <c r="AP48" s="49"/>
      <c r="AQ48" s="49">
        <v>20</v>
      </c>
      <c r="AR48" s="49"/>
      <c r="AS48" s="49"/>
    </row>
    <row r="49" spans="1:45" ht="15.75" x14ac:dyDescent="0.25">
      <c r="A49" s="49">
        <v>33</v>
      </c>
      <c r="B49" s="42" t="s">
        <v>307</v>
      </c>
      <c r="C49" s="75">
        <v>2</v>
      </c>
      <c r="D49" s="76">
        <v>1</v>
      </c>
      <c r="E49" s="76"/>
      <c r="F49" s="76"/>
      <c r="G49" s="76">
        <v>5</v>
      </c>
      <c r="H49" s="76">
        <v>1</v>
      </c>
      <c r="I49" s="76">
        <v>1</v>
      </c>
      <c r="J49" s="76"/>
      <c r="K49" s="76">
        <v>1</v>
      </c>
      <c r="L49" s="76">
        <v>1</v>
      </c>
      <c r="M49" s="76">
        <v>1</v>
      </c>
      <c r="N49" s="76"/>
      <c r="O49" s="76">
        <v>1</v>
      </c>
      <c r="P49" s="76">
        <v>1</v>
      </c>
      <c r="Q49" s="76"/>
      <c r="R49" s="76"/>
      <c r="S49" s="76">
        <v>1</v>
      </c>
      <c r="T49" s="76"/>
      <c r="U49" s="76">
        <v>1</v>
      </c>
      <c r="V49" s="49">
        <v>1</v>
      </c>
      <c r="W49" s="49"/>
      <c r="X49" s="49"/>
      <c r="Y49" s="49">
        <v>1</v>
      </c>
      <c r="Z49" s="49"/>
      <c r="AA49" s="49"/>
      <c r="AB49" s="49"/>
      <c r="AC49" s="49">
        <v>1</v>
      </c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>
        <v>1</v>
      </c>
      <c r="AO49" s="49"/>
      <c r="AP49" s="49"/>
      <c r="AQ49" s="49"/>
      <c r="AR49" s="49"/>
      <c r="AS49" s="49"/>
    </row>
    <row r="50" spans="1:45" ht="15.75" x14ac:dyDescent="0.25">
      <c r="A50" s="49">
        <v>34</v>
      </c>
      <c r="B50" s="42" t="s">
        <v>144</v>
      </c>
      <c r="C50" s="75">
        <v>2</v>
      </c>
      <c r="D50" s="76">
        <v>1</v>
      </c>
      <c r="E50" s="76"/>
      <c r="F50" s="76"/>
      <c r="G50" s="76">
        <v>5</v>
      </c>
      <c r="H50" s="76">
        <v>1</v>
      </c>
      <c r="I50" s="76">
        <v>1</v>
      </c>
      <c r="J50" s="76"/>
      <c r="K50" s="76">
        <v>1</v>
      </c>
      <c r="L50" s="76">
        <v>1</v>
      </c>
      <c r="M50" s="76">
        <v>1</v>
      </c>
      <c r="N50" s="76"/>
      <c r="O50" s="76">
        <v>1</v>
      </c>
      <c r="P50" s="76">
        <v>1</v>
      </c>
      <c r="Q50" s="76"/>
      <c r="R50" s="76"/>
      <c r="S50" s="76">
        <v>1</v>
      </c>
      <c r="T50" s="76"/>
      <c r="U50" s="76">
        <v>1</v>
      </c>
      <c r="V50" s="49">
        <v>1</v>
      </c>
      <c r="W50" s="49"/>
      <c r="X50" s="49"/>
      <c r="Y50" s="49">
        <v>1</v>
      </c>
      <c r="Z50" s="49"/>
      <c r="AA50" s="49"/>
      <c r="AB50" s="49"/>
      <c r="AC50" s="49">
        <v>1</v>
      </c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>
        <v>1</v>
      </c>
      <c r="AO50" s="49"/>
      <c r="AP50" s="49"/>
      <c r="AQ50" s="49"/>
      <c r="AR50" s="49"/>
      <c r="AS50" s="49"/>
    </row>
    <row r="51" spans="1:45" ht="15.75" x14ac:dyDescent="0.25">
      <c r="A51" s="49">
        <v>35</v>
      </c>
      <c r="B51" s="42" t="s">
        <v>145</v>
      </c>
      <c r="C51" s="75">
        <v>2</v>
      </c>
      <c r="D51" s="76">
        <v>1</v>
      </c>
      <c r="E51" s="76"/>
      <c r="F51" s="76"/>
      <c r="G51" s="76">
        <v>5</v>
      </c>
      <c r="H51" s="76">
        <v>1</v>
      </c>
      <c r="I51" s="76">
        <v>1</v>
      </c>
      <c r="J51" s="76"/>
      <c r="K51" s="76">
        <v>1</v>
      </c>
      <c r="L51" s="76">
        <v>1</v>
      </c>
      <c r="M51" s="76">
        <v>1</v>
      </c>
      <c r="N51" s="76"/>
      <c r="O51" s="76">
        <v>1</v>
      </c>
      <c r="P51" s="76">
        <v>1</v>
      </c>
      <c r="Q51" s="76"/>
      <c r="R51" s="76"/>
      <c r="S51" s="76">
        <v>1</v>
      </c>
      <c r="T51" s="76"/>
      <c r="U51" s="76">
        <v>1</v>
      </c>
      <c r="V51" s="49">
        <v>1</v>
      </c>
      <c r="W51" s="49"/>
      <c r="X51" s="49"/>
      <c r="Y51" s="49">
        <v>1</v>
      </c>
      <c r="Z51" s="49"/>
      <c r="AA51" s="49"/>
      <c r="AB51" s="49"/>
      <c r="AC51" s="49">
        <v>1</v>
      </c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>
        <v>1</v>
      </c>
      <c r="AO51" s="49"/>
      <c r="AP51" s="49"/>
      <c r="AQ51" s="49"/>
      <c r="AR51" s="49"/>
      <c r="AS51" s="49"/>
    </row>
    <row r="52" spans="1:45" ht="15.75" x14ac:dyDescent="0.25">
      <c r="A52" s="49">
        <v>36</v>
      </c>
      <c r="B52" s="42" t="s">
        <v>146</v>
      </c>
      <c r="C52" s="75">
        <v>2</v>
      </c>
      <c r="D52" s="76">
        <v>1</v>
      </c>
      <c r="E52" s="76"/>
      <c r="F52" s="76"/>
      <c r="G52" s="76">
        <v>5</v>
      </c>
      <c r="H52" s="76">
        <v>1</v>
      </c>
      <c r="I52" s="76">
        <v>1</v>
      </c>
      <c r="J52" s="76"/>
      <c r="K52" s="76">
        <v>1</v>
      </c>
      <c r="L52" s="76">
        <v>1</v>
      </c>
      <c r="M52" s="76">
        <v>1</v>
      </c>
      <c r="N52" s="76"/>
      <c r="O52" s="76">
        <v>1</v>
      </c>
      <c r="P52" s="76">
        <v>1</v>
      </c>
      <c r="Q52" s="76"/>
      <c r="R52" s="76"/>
      <c r="S52" s="76">
        <v>1</v>
      </c>
      <c r="T52" s="76"/>
      <c r="U52" s="76">
        <v>1</v>
      </c>
      <c r="V52" s="49">
        <v>1</v>
      </c>
      <c r="W52" s="49"/>
      <c r="X52" s="49"/>
      <c r="Y52" s="49">
        <v>1</v>
      </c>
      <c r="Z52" s="49"/>
      <c r="AA52" s="49"/>
      <c r="AB52" s="49"/>
      <c r="AC52" s="49">
        <v>1</v>
      </c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>
        <v>1</v>
      </c>
      <c r="AO52" s="49"/>
      <c r="AP52" s="49"/>
      <c r="AQ52" s="49"/>
      <c r="AR52" s="49"/>
      <c r="AS52" s="49"/>
    </row>
    <row r="53" spans="1:45" ht="15.75" x14ac:dyDescent="0.25">
      <c r="A53" s="49">
        <v>37</v>
      </c>
      <c r="B53" s="42" t="s">
        <v>147</v>
      </c>
      <c r="C53" s="75">
        <v>2</v>
      </c>
      <c r="D53" s="76">
        <v>1</v>
      </c>
      <c r="E53" s="76"/>
      <c r="F53" s="76"/>
      <c r="G53" s="76">
        <v>5</v>
      </c>
      <c r="H53" s="76">
        <v>1</v>
      </c>
      <c r="I53" s="76">
        <v>1</v>
      </c>
      <c r="J53" s="76"/>
      <c r="K53" s="76">
        <v>1</v>
      </c>
      <c r="L53" s="76">
        <v>1</v>
      </c>
      <c r="M53" s="76">
        <v>1</v>
      </c>
      <c r="N53" s="76"/>
      <c r="O53" s="76">
        <v>1</v>
      </c>
      <c r="P53" s="76">
        <v>1</v>
      </c>
      <c r="Q53" s="76"/>
      <c r="R53" s="76"/>
      <c r="S53" s="76">
        <v>1</v>
      </c>
      <c r="T53" s="76"/>
      <c r="U53" s="76">
        <v>1</v>
      </c>
      <c r="V53" s="49">
        <v>1</v>
      </c>
      <c r="W53" s="49"/>
      <c r="X53" s="49"/>
      <c r="Y53" s="49">
        <v>1</v>
      </c>
      <c r="Z53" s="49"/>
      <c r="AA53" s="49"/>
      <c r="AB53" s="49"/>
      <c r="AC53" s="49">
        <v>1</v>
      </c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>
        <v>1</v>
      </c>
      <c r="AO53" s="49"/>
      <c r="AP53" s="49"/>
      <c r="AQ53" s="49">
        <v>20</v>
      </c>
      <c r="AR53" s="49"/>
      <c r="AS53" s="49"/>
    </row>
    <row r="54" spans="1:45" ht="15.75" x14ac:dyDescent="0.25">
      <c r="A54" s="49">
        <v>38</v>
      </c>
      <c r="B54" s="86" t="s">
        <v>193</v>
      </c>
      <c r="C54" s="75">
        <v>2</v>
      </c>
      <c r="D54" s="76">
        <v>1</v>
      </c>
      <c r="E54" s="76"/>
      <c r="F54" s="76"/>
      <c r="G54" s="76">
        <v>5</v>
      </c>
      <c r="H54" s="76">
        <v>1</v>
      </c>
      <c r="I54" s="76">
        <v>1</v>
      </c>
      <c r="J54" s="76"/>
      <c r="K54" s="76">
        <v>1</v>
      </c>
      <c r="L54" s="76">
        <v>1</v>
      </c>
      <c r="M54" s="76">
        <v>1</v>
      </c>
      <c r="N54" s="76"/>
      <c r="O54" s="76">
        <v>1</v>
      </c>
      <c r="P54" s="76">
        <v>1</v>
      </c>
      <c r="Q54" s="76"/>
      <c r="R54" s="76"/>
      <c r="S54" s="76">
        <v>1</v>
      </c>
      <c r="T54" s="76"/>
      <c r="U54" s="76">
        <v>1</v>
      </c>
      <c r="V54" s="49">
        <v>1</v>
      </c>
      <c r="W54" s="49"/>
      <c r="X54" s="49"/>
      <c r="Y54" s="49">
        <v>1</v>
      </c>
      <c r="Z54" s="49"/>
      <c r="AA54" s="49"/>
      <c r="AB54" s="49"/>
      <c r="AC54" s="49">
        <v>1</v>
      </c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>
        <v>1</v>
      </c>
      <c r="AO54" s="49"/>
      <c r="AP54" s="49"/>
      <c r="AQ54" s="49">
        <v>20</v>
      </c>
      <c r="AR54" s="49"/>
      <c r="AS54" s="49"/>
    </row>
    <row r="55" spans="1:45" ht="15.75" x14ac:dyDescent="0.25">
      <c r="A55" s="49">
        <v>39</v>
      </c>
      <c r="B55" s="86" t="s">
        <v>325</v>
      </c>
      <c r="C55" s="75">
        <v>2</v>
      </c>
      <c r="D55" s="76">
        <v>1</v>
      </c>
      <c r="E55" s="76"/>
      <c r="F55" s="76"/>
      <c r="G55" s="76">
        <v>5</v>
      </c>
      <c r="H55" s="76">
        <v>1</v>
      </c>
      <c r="I55" s="76">
        <v>1</v>
      </c>
      <c r="J55" s="76"/>
      <c r="K55" s="76">
        <v>1</v>
      </c>
      <c r="L55" s="76">
        <v>1</v>
      </c>
      <c r="M55" s="76">
        <v>1</v>
      </c>
      <c r="N55" s="76"/>
      <c r="O55" s="76">
        <v>1</v>
      </c>
      <c r="P55" s="76">
        <v>1</v>
      </c>
      <c r="Q55" s="76"/>
      <c r="R55" s="76"/>
      <c r="S55" s="76">
        <v>1</v>
      </c>
      <c r="T55" s="76"/>
      <c r="U55" s="76">
        <v>1</v>
      </c>
      <c r="V55" s="49">
        <v>1</v>
      </c>
      <c r="W55" s="49"/>
      <c r="X55" s="49"/>
      <c r="Y55" s="49">
        <v>1</v>
      </c>
      <c r="Z55" s="49"/>
      <c r="AA55" s="49"/>
      <c r="AB55" s="49"/>
      <c r="AC55" s="49">
        <v>1</v>
      </c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>
        <v>1</v>
      </c>
      <c r="AO55" s="49"/>
      <c r="AP55" s="49"/>
      <c r="AQ55" s="49">
        <v>20</v>
      </c>
      <c r="AR55" s="49"/>
      <c r="AS55" s="49"/>
    </row>
    <row r="56" spans="1:45" ht="15.75" x14ac:dyDescent="0.25">
      <c r="A56" s="49">
        <v>40</v>
      </c>
      <c r="B56" s="86" t="s">
        <v>201</v>
      </c>
      <c r="C56" s="75">
        <v>2</v>
      </c>
      <c r="D56" s="76">
        <v>1</v>
      </c>
      <c r="E56" s="76"/>
      <c r="F56" s="76"/>
      <c r="G56" s="76">
        <v>5</v>
      </c>
      <c r="H56" s="76">
        <v>1</v>
      </c>
      <c r="I56" s="76">
        <v>1</v>
      </c>
      <c r="J56" s="76"/>
      <c r="K56" s="76">
        <v>1</v>
      </c>
      <c r="L56" s="76">
        <v>1</v>
      </c>
      <c r="M56" s="76">
        <v>1</v>
      </c>
      <c r="N56" s="76"/>
      <c r="O56" s="76">
        <v>1</v>
      </c>
      <c r="P56" s="76">
        <v>1</v>
      </c>
      <c r="Q56" s="76"/>
      <c r="R56" s="76"/>
      <c r="S56" s="76">
        <v>1</v>
      </c>
      <c r="T56" s="76"/>
      <c r="U56" s="76">
        <v>1</v>
      </c>
      <c r="V56" s="49">
        <v>1</v>
      </c>
      <c r="W56" s="49"/>
      <c r="X56" s="49"/>
      <c r="Y56" s="49">
        <v>1</v>
      </c>
      <c r="Z56" s="49"/>
      <c r="AA56" s="49"/>
      <c r="AB56" s="49"/>
      <c r="AC56" s="49">
        <v>1</v>
      </c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>
        <v>1</v>
      </c>
      <c r="AO56" s="49"/>
      <c r="AP56" s="49"/>
      <c r="AQ56" s="49">
        <v>20</v>
      </c>
      <c r="AR56" s="49"/>
      <c r="AS56" s="49"/>
    </row>
    <row r="57" spans="1:45" ht="15.75" x14ac:dyDescent="0.25">
      <c r="A57" s="49">
        <v>41</v>
      </c>
      <c r="B57" s="86" t="s">
        <v>324</v>
      </c>
      <c r="C57" s="75">
        <v>2</v>
      </c>
      <c r="D57" s="76">
        <v>1</v>
      </c>
      <c r="E57" s="76"/>
      <c r="F57" s="76"/>
      <c r="G57" s="76">
        <v>5</v>
      </c>
      <c r="H57" s="76">
        <v>1</v>
      </c>
      <c r="I57" s="76">
        <v>1</v>
      </c>
      <c r="J57" s="76"/>
      <c r="K57" s="76">
        <v>1</v>
      </c>
      <c r="L57" s="76">
        <v>1</v>
      </c>
      <c r="M57" s="76">
        <v>1</v>
      </c>
      <c r="N57" s="76"/>
      <c r="O57" s="76">
        <v>1</v>
      </c>
      <c r="P57" s="76">
        <v>1</v>
      </c>
      <c r="Q57" s="76"/>
      <c r="R57" s="76"/>
      <c r="S57" s="76">
        <v>1</v>
      </c>
      <c r="T57" s="76"/>
      <c r="U57" s="76">
        <v>1</v>
      </c>
      <c r="V57" s="49">
        <v>1</v>
      </c>
      <c r="W57" s="49"/>
      <c r="X57" s="49"/>
      <c r="Y57" s="49">
        <v>1</v>
      </c>
      <c r="Z57" s="49"/>
      <c r="AA57" s="49"/>
      <c r="AB57" s="49"/>
      <c r="AC57" s="49">
        <v>1</v>
      </c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>
        <v>1</v>
      </c>
      <c r="AO57" s="49"/>
      <c r="AP57" s="49"/>
      <c r="AQ57" s="49">
        <v>20</v>
      </c>
      <c r="AR57" s="49"/>
      <c r="AS57" s="49"/>
    </row>
    <row r="58" spans="1:45" ht="15.75" x14ac:dyDescent="0.25">
      <c r="A58" s="49">
        <v>42</v>
      </c>
      <c r="B58" s="86" t="s">
        <v>213</v>
      </c>
      <c r="C58" s="75">
        <v>2</v>
      </c>
      <c r="D58" s="76">
        <v>1</v>
      </c>
      <c r="E58" s="76"/>
      <c r="F58" s="76"/>
      <c r="G58" s="76">
        <v>5</v>
      </c>
      <c r="H58" s="76">
        <v>1</v>
      </c>
      <c r="I58" s="76">
        <v>1</v>
      </c>
      <c r="J58" s="76"/>
      <c r="K58" s="76">
        <v>1</v>
      </c>
      <c r="L58" s="76">
        <v>1</v>
      </c>
      <c r="M58" s="76">
        <v>1</v>
      </c>
      <c r="N58" s="76"/>
      <c r="O58" s="76">
        <v>1</v>
      </c>
      <c r="P58" s="76">
        <v>1</v>
      </c>
      <c r="Q58" s="76"/>
      <c r="R58" s="76"/>
      <c r="S58" s="76">
        <v>1</v>
      </c>
      <c r="T58" s="76"/>
      <c r="U58" s="76">
        <v>1</v>
      </c>
      <c r="V58" s="49">
        <v>1</v>
      </c>
      <c r="W58" s="49"/>
      <c r="X58" s="49"/>
      <c r="Y58" s="49">
        <v>1</v>
      </c>
      <c r="Z58" s="49"/>
      <c r="AA58" s="49"/>
      <c r="AB58" s="49"/>
      <c r="AC58" s="49">
        <v>1</v>
      </c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>
        <v>1</v>
      </c>
      <c r="AO58" s="49"/>
      <c r="AP58" s="49"/>
      <c r="AQ58" s="49">
        <v>20</v>
      </c>
      <c r="AR58" s="49"/>
      <c r="AS58" s="49"/>
    </row>
    <row r="59" spans="1:45" ht="15.75" x14ac:dyDescent="0.25">
      <c r="A59" s="49">
        <v>43</v>
      </c>
      <c r="B59" s="86" t="s">
        <v>326</v>
      </c>
      <c r="C59" s="75">
        <v>2</v>
      </c>
      <c r="D59" s="76">
        <v>1</v>
      </c>
      <c r="E59" s="76"/>
      <c r="F59" s="76"/>
      <c r="G59" s="76">
        <v>5</v>
      </c>
      <c r="H59" s="76">
        <v>1</v>
      </c>
      <c r="I59" s="76">
        <v>1</v>
      </c>
      <c r="J59" s="76"/>
      <c r="K59" s="76">
        <v>1</v>
      </c>
      <c r="L59" s="76">
        <v>1</v>
      </c>
      <c r="M59" s="76">
        <v>1</v>
      </c>
      <c r="N59" s="76"/>
      <c r="O59" s="76">
        <v>1</v>
      </c>
      <c r="P59" s="76">
        <v>1</v>
      </c>
      <c r="Q59" s="76"/>
      <c r="R59" s="76"/>
      <c r="S59" s="76">
        <v>1</v>
      </c>
      <c r="T59" s="76"/>
      <c r="U59" s="76">
        <v>1</v>
      </c>
      <c r="V59" s="49">
        <v>1</v>
      </c>
      <c r="W59" s="49"/>
      <c r="X59" s="49"/>
      <c r="Y59" s="49">
        <v>1</v>
      </c>
      <c r="Z59" s="49"/>
      <c r="AA59" s="49"/>
      <c r="AB59" s="49"/>
      <c r="AC59" s="49">
        <v>1</v>
      </c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>
        <v>1</v>
      </c>
      <c r="AO59" s="49"/>
      <c r="AP59" s="49"/>
      <c r="AQ59" s="49">
        <v>20</v>
      </c>
      <c r="AR59" s="49"/>
      <c r="AS59" s="49"/>
    </row>
    <row r="60" spans="1:45" ht="15.75" x14ac:dyDescent="0.25">
      <c r="A60" s="49">
        <v>44</v>
      </c>
      <c r="B60" s="86" t="s">
        <v>351</v>
      </c>
      <c r="C60" s="75">
        <v>2</v>
      </c>
      <c r="D60" s="76">
        <v>1</v>
      </c>
      <c r="E60" s="76"/>
      <c r="F60" s="76"/>
      <c r="G60" s="76">
        <v>5</v>
      </c>
      <c r="H60" s="76">
        <v>1</v>
      </c>
      <c r="I60" s="76">
        <v>1</v>
      </c>
      <c r="J60" s="76"/>
      <c r="K60" s="76">
        <v>1</v>
      </c>
      <c r="L60" s="76">
        <v>1</v>
      </c>
      <c r="M60" s="76">
        <v>1</v>
      </c>
      <c r="N60" s="76"/>
      <c r="O60" s="76">
        <v>1</v>
      </c>
      <c r="P60" s="76">
        <v>1</v>
      </c>
      <c r="Q60" s="76"/>
      <c r="R60" s="76"/>
      <c r="S60" s="76">
        <v>1</v>
      </c>
      <c r="T60" s="76"/>
      <c r="U60" s="76">
        <v>1</v>
      </c>
      <c r="V60" s="49">
        <v>1</v>
      </c>
      <c r="W60" s="49"/>
      <c r="X60" s="49"/>
      <c r="Y60" s="49">
        <v>1</v>
      </c>
      <c r="Z60" s="49"/>
      <c r="AA60" s="49"/>
      <c r="AB60" s="49"/>
      <c r="AC60" s="49">
        <v>1</v>
      </c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>
        <v>1</v>
      </c>
      <c r="AO60" s="49"/>
      <c r="AP60" s="49"/>
      <c r="AQ60" s="49"/>
      <c r="AR60" s="49"/>
      <c r="AS60" s="49"/>
    </row>
    <row r="61" spans="1:45" ht="15.75" x14ac:dyDescent="0.25">
      <c r="A61" s="49">
        <v>45</v>
      </c>
      <c r="B61" s="42" t="s">
        <v>143</v>
      </c>
      <c r="C61" s="75">
        <v>2</v>
      </c>
      <c r="D61" s="76">
        <v>1</v>
      </c>
      <c r="E61" s="76"/>
      <c r="F61" s="76"/>
      <c r="G61" s="76">
        <v>5</v>
      </c>
      <c r="H61" s="76">
        <v>1</v>
      </c>
      <c r="I61" s="76">
        <v>1</v>
      </c>
      <c r="J61" s="76"/>
      <c r="K61" s="76">
        <v>1</v>
      </c>
      <c r="L61" s="76">
        <v>1</v>
      </c>
      <c r="M61" s="76">
        <v>1</v>
      </c>
      <c r="N61" s="76"/>
      <c r="O61" s="76">
        <v>1</v>
      </c>
      <c r="P61" s="76">
        <v>1</v>
      </c>
      <c r="Q61" s="76"/>
      <c r="R61" s="76"/>
      <c r="S61" s="76">
        <v>1</v>
      </c>
      <c r="T61" s="76"/>
      <c r="U61" s="76">
        <v>1</v>
      </c>
      <c r="V61" s="49">
        <v>1</v>
      </c>
      <c r="W61" s="49"/>
      <c r="X61" s="49"/>
      <c r="Y61" s="49">
        <v>1</v>
      </c>
      <c r="Z61" s="49"/>
      <c r="AA61" s="49"/>
      <c r="AB61" s="49"/>
      <c r="AC61" s="49">
        <v>1</v>
      </c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>
        <v>1</v>
      </c>
      <c r="AO61" s="49"/>
      <c r="AP61" s="49"/>
      <c r="AQ61" s="49"/>
      <c r="AR61" s="49"/>
      <c r="AS61" s="49"/>
    </row>
    <row r="62" spans="1:45" ht="15.75" x14ac:dyDescent="0.25">
      <c r="A62" s="49">
        <v>46</v>
      </c>
      <c r="B62" s="42" t="s">
        <v>115</v>
      </c>
      <c r="C62" s="75">
        <v>2</v>
      </c>
      <c r="D62" s="76">
        <v>1</v>
      </c>
      <c r="E62" s="76"/>
      <c r="F62" s="76"/>
      <c r="G62" s="76">
        <v>5</v>
      </c>
      <c r="H62" s="76">
        <v>1</v>
      </c>
      <c r="I62" s="76">
        <v>1</v>
      </c>
      <c r="J62" s="76"/>
      <c r="K62" s="76">
        <v>1</v>
      </c>
      <c r="L62" s="76">
        <v>1</v>
      </c>
      <c r="M62" s="76">
        <v>1</v>
      </c>
      <c r="N62" s="76"/>
      <c r="O62" s="76">
        <v>1</v>
      </c>
      <c r="P62" s="76">
        <v>1</v>
      </c>
      <c r="Q62" s="76"/>
      <c r="R62" s="76"/>
      <c r="S62" s="76">
        <v>1</v>
      </c>
      <c r="T62" s="76"/>
      <c r="U62" s="76">
        <v>1</v>
      </c>
      <c r="V62" s="49">
        <v>1</v>
      </c>
      <c r="W62" s="49"/>
      <c r="X62" s="49"/>
      <c r="Y62" s="49">
        <v>1</v>
      </c>
      <c r="Z62" s="49"/>
      <c r="AA62" s="49"/>
      <c r="AB62" s="49"/>
      <c r="AC62" s="49">
        <v>1</v>
      </c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>
        <v>1</v>
      </c>
      <c r="AO62" s="49"/>
      <c r="AP62" s="49"/>
      <c r="AQ62" s="49">
        <v>20</v>
      </c>
      <c r="AR62" s="49"/>
      <c r="AS62" s="49"/>
    </row>
    <row r="63" spans="1:45" ht="15.75" x14ac:dyDescent="0.25">
      <c r="A63" s="49">
        <v>47</v>
      </c>
      <c r="B63" s="42" t="s">
        <v>148</v>
      </c>
      <c r="C63" s="75">
        <v>2</v>
      </c>
      <c r="D63" s="76">
        <v>1</v>
      </c>
      <c r="E63" s="76"/>
      <c r="F63" s="76"/>
      <c r="G63" s="76">
        <v>5</v>
      </c>
      <c r="H63" s="76">
        <v>1</v>
      </c>
      <c r="I63" s="76">
        <v>1</v>
      </c>
      <c r="J63" s="76"/>
      <c r="K63" s="76">
        <v>1</v>
      </c>
      <c r="L63" s="76">
        <v>1</v>
      </c>
      <c r="M63" s="76">
        <v>1</v>
      </c>
      <c r="N63" s="76"/>
      <c r="O63" s="76">
        <v>1</v>
      </c>
      <c r="P63" s="76">
        <v>1</v>
      </c>
      <c r="Q63" s="76"/>
      <c r="R63" s="76"/>
      <c r="S63" s="76">
        <v>1</v>
      </c>
      <c r="T63" s="76"/>
      <c r="U63" s="76">
        <v>1</v>
      </c>
      <c r="V63" s="49">
        <v>1</v>
      </c>
      <c r="W63" s="49"/>
      <c r="X63" s="49"/>
      <c r="Y63" s="49">
        <v>1</v>
      </c>
      <c r="Z63" s="49"/>
      <c r="AA63" s="49"/>
      <c r="AB63" s="49"/>
      <c r="AC63" s="49">
        <v>1</v>
      </c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>
        <v>1</v>
      </c>
      <c r="AO63" s="49"/>
      <c r="AP63" s="49"/>
      <c r="AQ63" s="49"/>
      <c r="AR63" s="49"/>
      <c r="AS63" s="49"/>
    </row>
    <row r="64" spans="1:45" ht="15.75" x14ac:dyDescent="0.25">
      <c r="A64" s="49">
        <v>48</v>
      </c>
      <c r="B64" s="42" t="s">
        <v>183</v>
      </c>
      <c r="C64" s="75">
        <v>2</v>
      </c>
      <c r="D64" s="76">
        <v>1</v>
      </c>
      <c r="E64" s="76"/>
      <c r="F64" s="76"/>
      <c r="G64" s="76">
        <v>5</v>
      </c>
      <c r="H64" s="76">
        <v>1</v>
      </c>
      <c r="I64" s="76">
        <v>1</v>
      </c>
      <c r="J64" s="76"/>
      <c r="K64" s="76">
        <v>1</v>
      </c>
      <c r="L64" s="76">
        <v>1</v>
      </c>
      <c r="M64" s="76">
        <v>1</v>
      </c>
      <c r="N64" s="76"/>
      <c r="O64" s="76">
        <v>1</v>
      </c>
      <c r="P64" s="76">
        <v>1</v>
      </c>
      <c r="Q64" s="76"/>
      <c r="R64" s="76"/>
      <c r="S64" s="76">
        <v>1</v>
      </c>
      <c r="T64" s="76"/>
      <c r="U64" s="76">
        <v>1</v>
      </c>
      <c r="V64" s="49">
        <v>1</v>
      </c>
      <c r="W64" s="49"/>
      <c r="X64" s="49"/>
      <c r="Y64" s="49">
        <v>1</v>
      </c>
      <c r="Z64" s="49"/>
      <c r="AA64" s="49"/>
      <c r="AB64" s="49"/>
      <c r="AC64" s="49">
        <v>1</v>
      </c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>
        <v>1</v>
      </c>
      <c r="AO64" s="49"/>
      <c r="AP64" s="49"/>
      <c r="AQ64" s="49">
        <v>20</v>
      </c>
      <c r="AR64" s="49"/>
      <c r="AS64" s="49"/>
    </row>
    <row r="65" spans="1:45" ht="15.75" x14ac:dyDescent="0.25">
      <c r="A65" s="49">
        <v>49</v>
      </c>
      <c r="B65" s="86" t="s">
        <v>366</v>
      </c>
      <c r="C65" s="75">
        <v>2</v>
      </c>
      <c r="D65" s="76">
        <v>1</v>
      </c>
      <c r="E65" s="76"/>
      <c r="F65" s="76"/>
      <c r="G65" s="76">
        <v>5</v>
      </c>
      <c r="H65" s="76">
        <v>1</v>
      </c>
      <c r="I65" s="76">
        <v>1</v>
      </c>
      <c r="J65" s="76"/>
      <c r="K65" s="76">
        <v>1</v>
      </c>
      <c r="L65" s="76">
        <v>1</v>
      </c>
      <c r="M65" s="76">
        <v>1</v>
      </c>
      <c r="N65" s="76"/>
      <c r="O65" s="76">
        <v>1</v>
      </c>
      <c r="P65" s="76">
        <v>1</v>
      </c>
      <c r="Q65" s="76"/>
      <c r="R65" s="76"/>
      <c r="S65" s="76">
        <v>1</v>
      </c>
      <c r="T65" s="76"/>
      <c r="U65" s="76">
        <v>1</v>
      </c>
      <c r="V65" s="49">
        <v>1</v>
      </c>
      <c r="W65" s="49"/>
      <c r="X65" s="49"/>
      <c r="Y65" s="49">
        <v>1</v>
      </c>
      <c r="Z65" s="49"/>
      <c r="AA65" s="49"/>
      <c r="AB65" s="49"/>
      <c r="AC65" s="49">
        <v>1</v>
      </c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>
        <v>1</v>
      </c>
      <c r="AO65" s="49"/>
      <c r="AP65" s="49"/>
      <c r="AQ65" s="49">
        <v>20</v>
      </c>
      <c r="AR65" s="49"/>
      <c r="AS65" s="49"/>
    </row>
    <row r="66" spans="1:45" ht="15.75" x14ac:dyDescent="0.25">
      <c r="A66" s="49">
        <v>50</v>
      </c>
      <c r="B66" s="86" t="s">
        <v>380</v>
      </c>
      <c r="C66" s="75">
        <v>2</v>
      </c>
      <c r="D66" s="76">
        <v>1</v>
      </c>
      <c r="E66" s="76"/>
      <c r="F66" s="76"/>
      <c r="G66" s="76">
        <v>5</v>
      </c>
      <c r="H66" s="76">
        <v>1</v>
      </c>
      <c r="I66" s="76">
        <v>1</v>
      </c>
      <c r="J66" s="76"/>
      <c r="K66" s="76">
        <v>1</v>
      </c>
      <c r="L66" s="76">
        <v>1</v>
      </c>
      <c r="M66" s="76">
        <v>1</v>
      </c>
      <c r="N66" s="76"/>
      <c r="O66" s="76">
        <v>1</v>
      </c>
      <c r="P66" s="76">
        <v>1</v>
      </c>
      <c r="Q66" s="76"/>
      <c r="R66" s="76"/>
      <c r="S66" s="76">
        <v>1</v>
      </c>
      <c r="T66" s="76"/>
      <c r="U66" s="76">
        <v>1</v>
      </c>
      <c r="V66" s="49">
        <v>1</v>
      </c>
      <c r="W66" s="49"/>
      <c r="X66" s="49"/>
      <c r="Y66" s="49">
        <v>1</v>
      </c>
      <c r="Z66" s="49"/>
      <c r="AA66" s="49"/>
      <c r="AB66" s="49"/>
      <c r="AC66" s="49">
        <v>1</v>
      </c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>
        <v>1</v>
      </c>
      <c r="AO66" s="49"/>
      <c r="AP66" s="49"/>
      <c r="AQ66" s="49"/>
      <c r="AR66" s="49"/>
      <c r="AS66" s="49"/>
    </row>
    <row r="67" spans="1:45" ht="15.75" x14ac:dyDescent="0.25">
      <c r="A67" s="49">
        <v>51</v>
      </c>
      <c r="B67" s="86" t="s">
        <v>367</v>
      </c>
      <c r="C67" s="75">
        <v>2</v>
      </c>
      <c r="D67" s="76">
        <v>1</v>
      </c>
      <c r="E67" s="76"/>
      <c r="F67" s="76"/>
      <c r="G67" s="76">
        <v>5</v>
      </c>
      <c r="H67" s="76">
        <v>1</v>
      </c>
      <c r="I67" s="76">
        <v>1</v>
      </c>
      <c r="J67" s="76"/>
      <c r="K67" s="76">
        <v>1</v>
      </c>
      <c r="L67" s="76">
        <v>1</v>
      </c>
      <c r="M67" s="76">
        <v>1</v>
      </c>
      <c r="N67" s="76"/>
      <c r="O67" s="76">
        <v>1</v>
      </c>
      <c r="P67" s="76">
        <v>1</v>
      </c>
      <c r="Q67" s="76"/>
      <c r="R67" s="76"/>
      <c r="S67" s="76">
        <v>1</v>
      </c>
      <c r="T67" s="76"/>
      <c r="U67" s="76">
        <v>1</v>
      </c>
      <c r="V67" s="49">
        <v>1</v>
      </c>
      <c r="W67" s="49"/>
      <c r="X67" s="49"/>
      <c r="Y67" s="49">
        <v>1</v>
      </c>
      <c r="Z67" s="49"/>
      <c r="AA67" s="49"/>
      <c r="AB67" s="49"/>
      <c r="AC67" s="49">
        <v>1</v>
      </c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>
        <v>1</v>
      </c>
      <c r="AO67" s="49"/>
      <c r="AP67" s="49"/>
      <c r="AQ67" s="49">
        <v>20</v>
      </c>
      <c r="AR67" s="49"/>
      <c r="AS67" s="49"/>
    </row>
    <row r="68" spans="1:45" ht="15.75" x14ac:dyDescent="0.25">
      <c r="A68" s="49">
        <v>52</v>
      </c>
      <c r="B68" s="86" t="s">
        <v>368</v>
      </c>
      <c r="C68" s="75">
        <v>2</v>
      </c>
      <c r="D68" s="76">
        <v>1</v>
      </c>
      <c r="E68" s="76"/>
      <c r="F68" s="76"/>
      <c r="G68" s="76">
        <v>5</v>
      </c>
      <c r="H68" s="76">
        <v>1</v>
      </c>
      <c r="I68" s="76">
        <v>1</v>
      </c>
      <c r="J68" s="76"/>
      <c r="K68" s="76">
        <v>1</v>
      </c>
      <c r="L68" s="76">
        <v>1</v>
      </c>
      <c r="M68" s="76">
        <v>1</v>
      </c>
      <c r="N68" s="76"/>
      <c r="O68" s="76">
        <v>1</v>
      </c>
      <c r="P68" s="76">
        <v>1</v>
      </c>
      <c r="Q68" s="76"/>
      <c r="R68" s="76"/>
      <c r="S68" s="76">
        <v>1</v>
      </c>
      <c r="T68" s="76"/>
      <c r="U68" s="76">
        <v>1</v>
      </c>
      <c r="V68" s="49">
        <v>1</v>
      </c>
      <c r="W68" s="49"/>
      <c r="X68" s="49"/>
      <c r="Y68" s="49">
        <v>1</v>
      </c>
      <c r="Z68" s="49"/>
      <c r="AA68" s="49"/>
      <c r="AB68" s="49"/>
      <c r="AC68" s="49">
        <v>1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>
        <v>1</v>
      </c>
      <c r="AO68" s="49"/>
      <c r="AP68" s="49"/>
      <c r="AQ68" s="49">
        <v>20</v>
      </c>
      <c r="AR68" s="49"/>
      <c r="AS68" s="49"/>
    </row>
    <row r="69" spans="1:45" ht="15.75" x14ac:dyDescent="0.25">
      <c r="A69" s="49">
        <v>53</v>
      </c>
      <c r="B69" s="86" t="s">
        <v>378</v>
      </c>
      <c r="C69" s="75">
        <v>2</v>
      </c>
      <c r="D69" s="76">
        <v>1</v>
      </c>
      <c r="E69" s="76"/>
      <c r="F69" s="76"/>
      <c r="G69" s="76">
        <v>5</v>
      </c>
      <c r="H69" s="76">
        <v>1</v>
      </c>
      <c r="I69" s="76">
        <v>1</v>
      </c>
      <c r="J69" s="76"/>
      <c r="K69" s="76">
        <v>1</v>
      </c>
      <c r="L69" s="76">
        <v>1</v>
      </c>
      <c r="M69" s="76">
        <v>1</v>
      </c>
      <c r="N69" s="76"/>
      <c r="O69" s="76">
        <v>1</v>
      </c>
      <c r="P69" s="76">
        <v>1</v>
      </c>
      <c r="Q69" s="76"/>
      <c r="R69" s="76"/>
      <c r="S69" s="76">
        <v>1</v>
      </c>
      <c r="T69" s="76"/>
      <c r="U69" s="76">
        <v>1</v>
      </c>
      <c r="V69" s="49">
        <v>1</v>
      </c>
      <c r="W69" s="49"/>
      <c r="X69" s="49"/>
      <c r="Y69" s="49">
        <v>1</v>
      </c>
      <c r="Z69" s="49"/>
      <c r="AA69" s="49"/>
      <c r="AB69" s="49"/>
      <c r="AC69" s="49">
        <v>1</v>
      </c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>
        <v>1</v>
      </c>
      <c r="AO69" s="49"/>
      <c r="AP69" s="49"/>
      <c r="AQ69" s="49">
        <v>20</v>
      </c>
      <c r="AR69" s="49"/>
      <c r="AS69" s="49"/>
    </row>
    <row r="70" spans="1:45" ht="15.75" x14ac:dyDescent="0.25">
      <c r="A70" s="49">
        <v>54</v>
      </c>
      <c r="B70" s="86" t="s">
        <v>150</v>
      </c>
      <c r="C70" s="75">
        <v>2</v>
      </c>
      <c r="D70" s="76">
        <v>1</v>
      </c>
      <c r="E70" s="76"/>
      <c r="F70" s="76"/>
      <c r="G70" s="76">
        <v>5</v>
      </c>
      <c r="H70" s="76">
        <v>1</v>
      </c>
      <c r="I70" s="76">
        <v>1</v>
      </c>
      <c r="J70" s="76"/>
      <c r="K70" s="76">
        <v>1</v>
      </c>
      <c r="L70" s="76">
        <v>1</v>
      </c>
      <c r="M70" s="76">
        <v>1</v>
      </c>
      <c r="N70" s="76"/>
      <c r="O70" s="76">
        <v>1</v>
      </c>
      <c r="P70" s="76">
        <v>1</v>
      </c>
      <c r="Q70" s="76"/>
      <c r="R70" s="76"/>
      <c r="S70" s="76">
        <v>1</v>
      </c>
      <c r="T70" s="76"/>
      <c r="U70" s="76">
        <v>1</v>
      </c>
      <c r="V70" s="49">
        <v>1</v>
      </c>
      <c r="W70" s="49"/>
      <c r="X70" s="49"/>
      <c r="Y70" s="49">
        <v>1</v>
      </c>
      <c r="Z70" s="49"/>
      <c r="AA70" s="49"/>
      <c r="AB70" s="49"/>
      <c r="AC70" s="49">
        <v>1</v>
      </c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>
        <v>1</v>
      </c>
      <c r="AO70" s="49"/>
      <c r="AP70" s="49"/>
      <c r="AQ70" s="49"/>
      <c r="AR70" s="49"/>
      <c r="AS70" s="49"/>
    </row>
    <row r="71" spans="1:45" ht="15.75" x14ac:dyDescent="0.25">
      <c r="A71" s="49">
        <v>55</v>
      </c>
      <c r="B71" s="86" t="s">
        <v>169</v>
      </c>
      <c r="C71" s="75">
        <v>2</v>
      </c>
      <c r="D71" s="76">
        <v>1</v>
      </c>
      <c r="E71" s="76"/>
      <c r="F71" s="76"/>
      <c r="G71" s="76">
        <v>5</v>
      </c>
      <c r="H71" s="76">
        <v>1</v>
      </c>
      <c r="I71" s="76">
        <v>1</v>
      </c>
      <c r="J71" s="76"/>
      <c r="K71" s="76">
        <v>1</v>
      </c>
      <c r="L71" s="76">
        <v>1</v>
      </c>
      <c r="M71" s="76">
        <v>1</v>
      </c>
      <c r="N71" s="76"/>
      <c r="O71" s="76">
        <v>1</v>
      </c>
      <c r="P71" s="76">
        <v>1</v>
      </c>
      <c r="Q71" s="76"/>
      <c r="R71" s="76"/>
      <c r="S71" s="76">
        <v>1</v>
      </c>
      <c r="T71" s="76"/>
      <c r="U71" s="76">
        <v>1</v>
      </c>
      <c r="V71" s="49">
        <v>1</v>
      </c>
      <c r="W71" s="49"/>
      <c r="X71" s="49"/>
      <c r="Y71" s="49">
        <v>1</v>
      </c>
      <c r="Z71" s="49"/>
      <c r="AA71" s="49"/>
      <c r="AB71" s="49"/>
      <c r="AC71" s="49">
        <v>1</v>
      </c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>
        <v>1</v>
      </c>
      <c r="AO71" s="49"/>
      <c r="AP71" s="49"/>
      <c r="AQ71" s="49"/>
      <c r="AR71" s="49"/>
      <c r="AS71" s="49"/>
    </row>
    <row r="72" spans="1:45" ht="15.75" x14ac:dyDescent="0.25">
      <c r="A72" s="49">
        <v>56</v>
      </c>
      <c r="B72" s="86" t="s">
        <v>361</v>
      </c>
      <c r="C72" s="75">
        <v>2</v>
      </c>
      <c r="D72" s="76">
        <v>1</v>
      </c>
      <c r="E72" s="76"/>
      <c r="F72" s="76"/>
      <c r="G72" s="76">
        <v>5</v>
      </c>
      <c r="H72" s="76">
        <v>1</v>
      </c>
      <c r="I72" s="76">
        <v>1</v>
      </c>
      <c r="J72" s="76"/>
      <c r="K72" s="76">
        <v>1</v>
      </c>
      <c r="L72" s="76">
        <v>1</v>
      </c>
      <c r="M72" s="76">
        <v>1</v>
      </c>
      <c r="N72" s="76"/>
      <c r="O72" s="76">
        <v>1</v>
      </c>
      <c r="P72" s="76">
        <v>1</v>
      </c>
      <c r="Q72" s="76"/>
      <c r="R72" s="76"/>
      <c r="S72" s="76">
        <v>1</v>
      </c>
      <c r="T72" s="76"/>
      <c r="U72" s="76">
        <v>1</v>
      </c>
      <c r="V72" s="49">
        <v>1</v>
      </c>
      <c r="W72" s="49"/>
      <c r="X72" s="49"/>
      <c r="Y72" s="49">
        <v>1</v>
      </c>
      <c r="Z72" s="49"/>
      <c r="AA72" s="49"/>
      <c r="AB72" s="49"/>
      <c r="AC72" s="49">
        <v>1</v>
      </c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>
        <v>1</v>
      </c>
      <c r="AO72" s="49"/>
      <c r="AP72" s="49"/>
      <c r="AQ72" s="49"/>
      <c r="AR72" s="49"/>
      <c r="AS72" s="49"/>
    </row>
    <row r="73" spans="1:45" ht="15.75" x14ac:dyDescent="0.25">
      <c r="A73" s="49">
        <v>57</v>
      </c>
      <c r="B73" s="86" t="s">
        <v>379</v>
      </c>
      <c r="C73" s="75">
        <v>2</v>
      </c>
      <c r="D73" s="76">
        <v>1</v>
      </c>
      <c r="E73" s="76"/>
      <c r="F73" s="76"/>
      <c r="G73" s="76">
        <v>5</v>
      </c>
      <c r="H73" s="76">
        <v>1</v>
      </c>
      <c r="I73" s="76">
        <v>1</v>
      </c>
      <c r="J73" s="76"/>
      <c r="K73" s="76">
        <v>1</v>
      </c>
      <c r="L73" s="76">
        <v>1</v>
      </c>
      <c r="M73" s="76">
        <v>1</v>
      </c>
      <c r="N73" s="76"/>
      <c r="O73" s="76">
        <v>1</v>
      </c>
      <c r="P73" s="76">
        <v>1</v>
      </c>
      <c r="Q73" s="76"/>
      <c r="R73" s="76"/>
      <c r="S73" s="76">
        <v>1</v>
      </c>
      <c r="T73" s="76"/>
      <c r="U73" s="76">
        <v>1</v>
      </c>
      <c r="V73" s="49">
        <v>1</v>
      </c>
      <c r="W73" s="49"/>
      <c r="X73" s="49"/>
      <c r="Y73" s="49">
        <v>1</v>
      </c>
      <c r="Z73" s="49"/>
      <c r="AA73" s="49"/>
      <c r="AB73" s="49"/>
      <c r="AC73" s="49">
        <v>1</v>
      </c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>
        <v>1</v>
      </c>
      <c r="AO73" s="49"/>
      <c r="AP73" s="49"/>
      <c r="AQ73" s="49">
        <v>20</v>
      </c>
      <c r="AR73" s="49"/>
      <c r="AS73" s="49"/>
    </row>
    <row r="74" spans="1:45" ht="15.75" x14ac:dyDescent="0.25">
      <c r="A74" s="49">
        <v>58</v>
      </c>
      <c r="B74" s="86" t="s">
        <v>385</v>
      </c>
      <c r="C74" s="75">
        <v>2</v>
      </c>
      <c r="D74" s="76">
        <v>1</v>
      </c>
      <c r="E74" s="76"/>
      <c r="F74" s="76"/>
      <c r="G74" s="76">
        <v>5</v>
      </c>
      <c r="H74" s="76">
        <v>1</v>
      </c>
      <c r="I74" s="76">
        <v>1</v>
      </c>
      <c r="J74" s="76"/>
      <c r="K74" s="76">
        <v>1</v>
      </c>
      <c r="L74" s="76">
        <v>1</v>
      </c>
      <c r="M74" s="76">
        <v>1</v>
      </c>
      <c r="N74" s="76"/>
      <c r="O74" s="76">
        <v>1</v>
      </c>
      <c r="P74" s="76">
        <v>1</v>
      </c>
      <c r="Q74" s="76"/>
      <c r="R74" s="76"/>
      <c r="S74" s="76">
        <v>1</v>
      </c>
      <c r="T74" s="76"/>
      <c r="U74" s="76">
        <v>1</v>
      </c>
      <c r="V74" s="49">
        <v>1</v>
      </c>
      <c r="W74" s="49"/>
      <c r="X74" s="49"/>
      <c r="Y74" s="49">
        <v>1</v>
      </c>
      <c r="Z74" s="49"/>
      <c r="AA74" s="49"/>
      <c r="AB74" s="49"/>
      <c r="AC74" s="49">
        <v>1</v>
      </c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>
        <v>1</v>
      </c>
      <c r="AO74" s="49"/>
      <c r="AP74" s="49"/>
      <c r="AQ74" s="49">
        <v>20</v>
      </c>
      <c r="AR74" s="49"/>
      <c r="AS74" s="49"/>
    </row>
    <row r="75" spans="1:45" ht="15.75" x14ac:dyDescent="0.25">
      <c r="A75" s="49">
        <v>59</v>
      </c>
      <c r="B75" s="86" t="s">
        <v>386</v>
      </c>
      <c r="C75" s="75">
        <v>2</v>
      </c>
      <c r="D75" s="76">
        <v>1</v>
      </c>
      <c r="E75" s="76"/>
      <c r="F75" s="76"/>
      <c r="G75" s="76">
        <v>5</v>
      </c>
      <c r="H75" s="76">
        <v>1</v>
      </c>
      <c r="I75" s="76">
        <v>1</v>
      </c>
      <c r="J75" s="76"/>
      <c r="K75" s="76">
        <v>1</v>
      </c>
      <c r="L75" s="76">
        <v>1</v>
      </c>
      <c r="M75" s="76">
        <v>1</v>
      </c>
      <c r="N75" s="76"/>
      <c r="O75" s="76">
        <v>1</v>
      </c>
      <c r="P75" s="76">
        <v>1</v>
      </c>
      <c r="Q75" s="76"/>
      <c r="R75" s="76"/>
      <c r="S75" s="76">
        <v>1</v>
      </c>
      <c r="T75" s="76"/>
      <c r="U75" s="76">
        <v>1</v>
      </c>
      <c r="V75" s="49">
        <v>1</v>
      </c>
      <c r="W75" s="49"/>
      <c r="X75" s="49"/>
      <c r="Y75" s="49">
        <v>1</v>
      </c>
      <c r="Z75" s="49"/>
      <c r="AA75" s="49"/>
      <c r="AB75" s="49"/>
      <c r="AC75" s="49">
        <v>1</v>
      </c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>
        <v>1</v>
      </c>
      <c r="AO75" s="49"/>
      <c r="AP75" s="49"/>
      <c r="AQ75" s="49"/>
      <c r="AR75" s="49"/>
      <c r="AS75" s="49"/>
    </row>
    <row r="76" spans="1:45" ht="15.75" x14ac:dyDescent="0.25">
      <c r="A76" s="49">
        <v>60</v>
      </c>
      <c r="B76" s="86" t="s">
        <v>333</v>
      </c>
      <c r="C76" s="75">
        <v>2</v>
      </c>
      <c r="D76" s="76">
        <v>1</v>
      </c>
      <c r="E76" s="76"/>
      <c r="F76" s="76"/>
      <c r="G76" s="76">
        <v>5</v>
      </c>
      <c r="H76" s="76">
        <v>1</v>
      </c>
      <c r="I76" s="76">
        <v>1</v>
      </c>
      <c r="J76" s="76"/>
      <c r="K76" s="76">
        <v>1</v>
      </c>
      <c r="L76" s="76">
        <v>1</v>
      </c>
      <c r="M76" s="76">
        <v>1</v>
      </c>
      <c r="N76" s="76"/>
      <c r="O76" s="76">
        <v>1</v>
      </c>
      <c r="P76" s="76">
        <v>1</v>
      </c>
      <c r="Q76" s="76"/>
      <c r="R76" s="76"/>
      <c r="S76" s="76">
        <v>1</v>
      </c>
      <c r="T76" s="76"/>
      <c r="U76" s="76">
        <v>1</v>
      </c>
      <c r="V76" s="49">
        <v>1</v>
      </c>
      <c r="W76" s="49"/>
      <c r="X76" s="49"/>
      <c r="Y76" s="49">
        <v>1</v>
      </c>
      <c r="Z76" s="49"/>
      <c r="AA76" s="49"/>
      <c r="AB76" s="49"/>
      <c r="AC76" s="49">
        <v>1</v>
      </c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>
        <v>1</v>
      </c>
      <c r="AO76" s="49"/>
      <c r="AP76" s="49"/>
      <c r="AQ76" s="49">
        <v>20</v>
      </c>
      <c r="AR76" s="49"/>
      <c r="AS76" s="49"/>
    </row>
    <row r="77" spans="1:45" ht="15.75" x14ac:dyDescent="0.25">
      <c r="A77" s="49">
        <v>61</v>
      </c>
      <c r="B77" s="86" t="s">
        <v>420</v>
      </c>
      <c r="C77" s="75">
        <v>2</v>
      </c>
      <c r="D77" s="76">
        <v>1</v>
      </c>
      <c r="E77" s="76"/>
      <c r="F77" s="76"/>
      <c r="G77" s="76">
        <v>5</v>
      </c>
      <c r="H77" s="76">
        <v>1</v>
      </c>
      <c r="I77" s="76">
        <v>1</v>
      </c>
      <c r="J77" s="76"/>
      <c r="K77" s="76">
        <v>1</v>
      </c>
      <c r="L77" s="76">
        <v>1</v>
      </c>
      <c r="M77" s="76">
        <v>1</v>
      </c>
      <c r="N77" s="76"/>
      <c r="O77" s="76">
        <v>1</v>
      </c>
      <c r="P77" s="76">
        <v>1</v>
      </c>
      <c r="Q77" s="76"/>
      <c r="R77" s="76"/>
      <c r="S77" s="76">
        <v>1</v>
      </c>
      <c r="T77" s="76"/>
      <c r="U77" s="76">
        <v>1</v>
      </c>
      <c r="V77" s="49">
        <v>1</v>
      </c>
      <c r="W77" s="49"/>
      <c r="X77" s="49"/>
      <c r="Y77" s="49">
        <v>1</v>
      </c>
      <c r="Z77" s="49"/>
      <c r="AA77" s="49"/>
      <c r="AB77" s="49"/>
      <c r="AC77" s="49">
        <v>1</v>
      </c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>
        <v>1</v>
      </c>
      <c r="AO77" s="49"/>
      <c r="AP77" s="49"/>
      <c r="AQ77" s="49">
        <v>20</v>
      </c>
      <c r="AR77" s="49"/>
      <c r="AS77" s="49"/>
    </row>
    <row r="78" spans="1:45" ht="15.75" x14ac:dyDescent="0.25">
      <c r="A78" s="49">
        <v>62</v>
      </c>
      <c r="B78" s="86" t="s">
        <v>353</v>
      </c>
      <c r="C78" s="75">
        <v>2</v>
      </c>
      <c r="D78" s="76">
        <v>1</v>
      </c>
      <c r="E78" s="76"/>
      <c r="F78" s="76"/>
      <c r="G78" s="76">
        <v>5</v>
      </c>
      <c r="H78" s="76">
        <v>1</v>
      </c>
      <c r="I78" s="76">
        <v>1</v>
      </c>
      <c r="J78" s="76"/>
      <c r="K78" s="76">
        <v>1</v>
      </c>
      <c r="L78" s="76">
        <v>1</v>
      </c>
      <c r="M78" s="76">
        <v>1</v>
      </c>
      <c r="N78" s="76"/>
      <c r="O78" s="76">
        <v>1</v>
      </c>
      <c r="P78" s="76">
        <v>1</v>
      </c>
      <c r="Q78" s="76"/>
      <c r="R78" s="76"/>
      <c r="S78" s="76">
        <v>1</v>
      </c>
      <c r="T78" s="76"/>
      <c r="U78" s="76">
        <v>1</v>
      </c>
      <c r="V78" s="49">
        <v>1</v>
      </c>
      <c r="W78" s="49"/>
      <c r="X78" s="49"/>
      <c r="Y78" s="49">
        <v>1</v>
      </c>
      <c r="Z78" s="49"/>
      <c r="AA78" s="49"/>
      <c r="AB78" s="49"/>
      <c r="AC78" s="49">
        <v>1</v>
      </c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>
        <v>1</v>
      </c>
      <c r="AO78" s="49"/>
      <c r="AP78" s="49"/>
      <c r="AQ78" s="49">
        <v>20</v>
      </c>
      <c r="AR78" s="49"/>
      <c r="AS78" s="49"/>
    </row>
    <row r="79" spans="1:45" ht="18.75" x14ac:dyDescent="0.25">
      <c r="B79" s="48" t="s">
        <v>1</v>
      </c>
      <c r="C79" s="34">
        <f t="shared" ref="C79:AS79" si="0">SUM(C17:C78)</f>
        <v>124</v>
      </c>
      <c r="D79" s="34">
        <f t="shared" si="0"/>
        <v>62</v>
      </c>
      <c r="E79" s="34">
        <f t="shared" si="0"/>
        <v>0</v>
      </c>
      <c r="F79" s="34">
        <f t="shared" si="0"/>
        <v>0</v>
      </c>
      <c r="G79" s="34">
        <f t="shared" si="0"/>
        <v>310</v>
      </c>
      <c r="H79" s="34">
        <f t="shared" si="0"/>
        <v>62</v>
      </c>
      <c r="I79" s="34">
        <f t="shared" si="0"/>
        <v>62</v>
      </c>
      <c r="J79" s="34">
        <f t="shared" si="0"/>
        <v>0</v>
      </c>
      <c r="K79" s="34">
        <f t="shared" si="0"/>
        <v>62</v>
      </c>
      <c r="L79" s="34">
        <f t="shared" si="0"/>
        <v>62</v>
      </c>
      <c r="M79" s="34">
        <f t="shared" si="0"/>
        <v>62</v>
      </c>
      <c r="N79" s="34">
        <f t="shared" si="0"/>
        <v>0</v>
      </c>
      <c r="O79" s="34">
        <f t="shared" si="0"/>
        <v>62</v>
      </c>
      <c r="P79" s="34">
        <f t="shared" si="0"/>
        <v>62</v>
      </c>
      <c r="Q79" s="34">
        <f t="shared" si="0"/>
        <v>0</v>
      </c>
      <c r="R79" s="34">
        <f t="shared" si="0"/>
        <v>0</v>
      </c>
      <c r="S79" s="34">
        <f t="shared" si="0"/>
        <v>62</v>
      </c>
      <c r="T79" s="34">
        <f t="shared" si="0"/>
        <v>0</v>
      </c>
      <c r="U79" s="34">
        <f t="shared" si="0"/>
        <v>62</v>
      </c>
      <c r="V79" s="34">
        <f t="shared" si="0"/>
        <v>62</v>
      </c>
      <c r="W79" s="34">
        <f t="shared" si="0"/>
        <v>0</v>
      </c>
      <c r="X79" s="34">
        <f t="shared" si="0"/>
        <v>0</v>
      </c>
      <c r="Y79" s="34">
        <f t="shared" si="0"/>
        <v>62</v>
      </c>
      <c r="Z79" s="34">
        <f t="shared" si="0"/>
        <v>0</v>
      </c>
      <c r="AA79" s="34">
        <f t="shared" si="0"/>
        <v>0</v>
      </c>
      <c r="AB79" s="34">
        <f t="shared" si="0"/>
        <v>0</v>
      </c>
      <c r="AC79" s="34">
        <f t="shared" si="0"/>
        <v>62</v>
      </c>
      <c r="AD79" s="34">
        <f t="shared" si="0"/>
        <v>0</v>
      </c>
      <c r="AE79" s="34">
        <f t="shared" si="0"/>
        <v>0</v>
      </c>
      <c r="AF79" s="34">
        <f t="shared" si="0"/>
        <v>0</v>
      </c>
      <c r="AG79" s="34">
        <f t="shared" si="0"/>
        <v>0</v>
      </c>
      <c r="AH79" s="34">
        <f t="shared" si="0"/>
        <v>0</v>
      </c>
      <c r="AI79" s="34">
        <f t="shared" si="0"/>
        <v>0</v>
      </c>
      <c r="AJ79" s="34">
        <f t="shared" si="0"/>
        <v>0</v>
      </c>
      <c r="AK79" s="34">
        <f t="shared" si="0"/>
        <v>0</v>
      </c>
      <c r="AL79" s="34">
        <f t="shared" si="0"/>
        <v>0</v>
      </c>
      <c r="AM79" s="34">
        <f t="shared" si="0"/>
        <v>0</v>
      </c>
      <c r="AN79" s="34">
        <f t="shared" si="0"/>
        <v>62</v>
      </c>
      <c r="AO79" s="34">
        <f t="shared" si="0"/>
        <v>0</v>
      </c>
      <c r="AP79" s="34">
        <f t="shared" si="0"/>
        <v>0</v>
      </c>
      <c r="AQ79" s="34">
        <f t="shared" si="0"/>
        <v>560</v>
      </c>
      <c r="AR79" s="34">
        <f t="shared" si="0"/>
        <v>0</v>
      </c>
      <c r="AS79" s="34">
        <f t="shared" si="0"/>
        <v>0</v>
      </c>
    </row>
    <row r="83" spans="2:24" ht="15.75" x14ac:dyDescent="0.25">
      <c r="B83" s="63" t="s">
        <v>291</v>
      </c>
      <c r="C83" s="64" t="s">
        <v>300</v>
      </c>
      <c r="I83" s="65"/>
      <c r="J83" s="65"/>
      <c r="K83" s="65"/>
      <c r="L83" s="65"/>
      <c r="M83" s="65"/>
      <c r="N83" s="65"/>
      <c r="O83" s="65"/>
      <c r="R83" s="66"/>
      <c r="S83" s="66"/>
      <c r="T83" s="66"/>
      <c r="U83" s="66"/>
      <c r="V83" s="66"/>
      <c r="W83" s="66"/>
      <c r="X83" s="66"/>
    </row>
    <row r="84" spans="2:24" ht="15.75" x14ac:dyDescent="0.25">
      <c r="C84"/>
      <c r="K84" s="67" t="s">
        <v>293</v>
      </c>
      <c r="U84" s="64" t="s">
        <v>292</v>
      </c>
    </row>
  </sheetData>
  <mergeCells count="7">
    <mergeCell ref="A10:AS10"/>
    <mergeCell ref="A11:AS11"/>
    <mergeCell ref="A14:A15"/>
    <mergeCell ref="B14:B15"/>
    <mergeCell ref="C14:AS14"/>
    <mergeCell ref="S12:T12"/>
    <mergeCell ref="U12:V12"/>
  </mergeCells>
  <conditionalFormatting sqref="B61">
    <cfRule type="duplicateValues" dxfId="120" priority="14"/>
    <cfRule type="duplicateValues" dxfId="119" priority="15"/>
  </conditionalFormatting>
  <conditionalFormatting sqref="B62">
    <cfRule type="duplicateValues" dxfId="118" priority="557"/>
    <cfRule type="duplicateValues" dxfId="117" priority="558"/>
  </conditionalFormatting>
  <conditionalFormatting sqref="B63">
    <cfRule type="duplicateValues" dxfId="116" priority="3"/>
    <cfRule type="duplicateValues" dxfId="115" priority="4"/>
    <cfRule type="duplicateValues" dxfId="114" priority="5"/>
  </conditionalFormatting>
  <conditionalFormatting sqref="B64:B77">
    <cfRule type="duplicateValues" dxfId="113" priority="828"/>
    <cfRule type="duplicateValues" dxfId="112" priority="829"/>
  </conditionalFormatting>
  <conditionalFormatting sqref="B78 B17:B60">
    <cfRule type="duplicateValues" dxfId="111" priority="300"/>
    <cfRule type="duplicateValues" dxfId="110" priority="301"/>
    <cfRule type="duplicateValues" dxfId="109" priority="302"/>
    <cfRule type="duplicateValues" dxfId="108" priority="331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rowBreaks count="1" manualBreakCount="1">
    <brk id="36" max="44" man="1"/>
  </rowBreaks>
  <colBreaks count="1" manualBreakCount="1">
    <brk id="1" max="88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6FF99"/>
    <pageSetUpPr fitToPage="1"/>
  </sheetPr>
  <dimension ref="A10:AS53"/>
  <sheetViews>
    <sheetView view="pageBreakPreview" topLeftCell="A21" zoomScale="115" zoomScaleNormal="100" zoomScaleSheetLayoutView="115" workbookViewId="0">
      <selection activeCell="B17" sqref="B17:B47"/>
    </sheetView>
  </sheetViews>
  <sheetFormatPr defaultRowHeight="15" x14ac:dyDescent="0.25"/>
  <cols>
    <col min="1" max="1" width="5.28515625" customWidth="1"/>
    <col min="2" max="2" width="37.140625" bestFit="1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294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 t="s">
        <v>288</v>
      </c>
      <c r="R12" s="112" t="str">
        <f>'Справочник-не смотрим!'!B1</f>
        <v>февраль</v>
      </c>
      <c r="S12" s="112"/>
      <c r="T12" s="112">
        <f>'Справочник-не смотрим!'!B2</f>
        <v>2026</v>
      </c>
      <c r="U12" s="112"/>
      <c r="V12" s="61" t="s">
        <v>289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38">
        <v>1</v>
      </c>
      <c r="B17" s="42" t="s">
        <v>411</v>
      </c>
      <c r="C17" s="75">
        <v>2</v>
      </c>
      <c r="D17" s="76">
        <v>1</v>
      </c>
      <c r="E17" s="76"/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>
        <v>1</v>
      </c>
      <c r="N17" s="76"/>
      <c r="O17" s="76"/>
      <c r="P17" s="76">
        <v>1</v>
      </c>
      <c r="Q17" s="76"/>
      <c r="R17" s="76"/>
      <c r="S17" s="76">
        <v>1</v>
      </c>
      <c r="T17" s="76"/>
      <c r="U17" s="76"/>
      <c r="V17" s="49"/>
      <c r="W17" s="49"/>
      <c r="X17" s="49"/>
      <c r="Y17" s="49">
        <v>1</v>
      </c>
      <c r="Z17" s="49"/>
      <c r="AA17" s="49"/>
      <c r="AB17" s="49"/>
      <c r="AC17" s="49">
        <v>1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>
        <v>1</v>
      </c>
      <c r="AO17" s="49"/>
      <c r="AP17" s="49"/>
      <c r="AQ17" s="49">
        <v>10</v>
      </c>
      <c r="AR17" s="49"/>
      <c r="AS17" s="49"/>
    </row>
    <row r="18" spans="1:45" ht="15.75" x14ac:dyDescent="0.25">
      <c r="A18" s="38">
        <v>2</v>
      </c>
      <c r="B18" s="42" t="s">
        <v>412</v>
      </c>
      <c r="C18" s="75">
        <v>2</v>
      </c>
      <c r="D18" s="76">
        <v>1</v>
      </c>
      <c r="E18" s="76"/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>
        <v>1</v>
      </c>
      <c r="N18" s="76"/>
      <c r="O18" s="76"/>
      <c r="P18" s="76">
        <v>1</v>
      </c>
      <c r="Q18" s="76"/>
      <c r="R18" s="76"/>
      <c r="S18" s="76">
        <v>1</v>
      </c>
      <c r="T18" s="76"/>
      <c r="U18" s="76"/>
      <c r="V18" s="49"/>
      <c r="W18" s="49"/>
      <c r="X18" s="49"/>
      <c r="Y18" s="49">
        <v>1</v>
      </c>
      <c r="Z18" s="49"/>
      <c r="AA18" s="49"/>
      <c r="AB18" s="49"/>
      <c r="AC18" s="49">
        <v>1</v>
      </c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>
        <v>1</v>
      </c>
      <c r="AO18" s="49"/>
      <c r="AP18" s="49"/>
      <c r="AQ18" s="49">
        <v>10</v>
      </c>
      <c r="AR18" s="49"/>
      <c r="AS18" s="49"/>
    </row>
    <row r="19" spans="1:45" ht="15.75" x14ac:dyDescent="0.25">
      <c r="A19" s="38">
        <v>3</v>
      </c>
      <c r="B19" s="42" t="s">
        <v>396</v>
      </c>
      <c r="C19" s="75">
        <v>2</v>
      </c>
      <c r="D19" s="76">
        <v>1</v>
      </c>
      <c r="E19" s="76"/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>
        <v>1</v>
      </c>
      <c r="N19" s="76"/>
      <c r="O19" s="76"/>
      <c r="P19" s="76">
        <v>1</v>
      </c>
      <c r="Q19" s="76"/>
      <c r="R19" s="76"/>
      <c r="S19" s="76">
        <v>1</v>
      </c>
      <c r="T19" s="76"/>
      <c r="U19" s="76"/>
      <c r="V19" s="49"/>
      <c r="W19" s="49"/>
      <c r="X19" s="49"/>
      <c r="Y19" s="49">
        <v>1</v>
      </c>
      <c r="Z19" s="49"/>
      <c r="AA19" s="49"/>
      <c r="AB19" s="49"/>
      <c r="AC19" s="49">
        <v>1</v>
      </c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>
        <v>1</v>
      </c>
      <c r="AO19" s="49"/>
      <c r="AP19" s="49"/>
      <c r="AQ19" s="49">
        <v>10</v>
      </c>
      <c r="AR19" s="49"/>
      <c r="AS19" s="49"/>
    </row>
    <row r="20" spans="1:45" ht="15.75" x14ac:dyDescent="0.25">
      <c r="A20" s="38">
        <v>4</v>
      </c>
      <c r="B20" s="42" t="s">
        <v>413</v>
      </c>
      <c r="C20" s="75">
        <v>2</v>
      </c>
      <c r="D20" s="76">
        <v>1</v>
      </c>
      <c r="E20" s="76"/>
      <c r="F20" s="76"/>
      <c r="G20" s="76">
        <v>5</v>
      </c>
      <c r="H20" s="76">
        <v>1</v>
      </c>
      <c r="I20" s="76">
        <v>1</v>
      </c>
      <c r="J20" s="76"/>
      <c r="K20" s="76">
        <v>1</v>
      </c>
      <c r="L20" s="76">
        <v>1</v>
      </c>
      <c r="M20" s="76">
        <v>1</v>
      </c>
      <c r="N20" s="76"/>
      <c r="O20" s="76"/>
      <c r="P20" s="76">
        <v>1</v>
      </c>
      <c r="Q20" s="76"/>
      <c r="R20" s="76"/>
      <c r="S20" s="76">
        <v>1</v>
      </c>
      <c r="T20" s="76"/>
      <c r="U20" s="76"/>
      <c r="V20" s="49"/>
      <c r="W20" s="49"/>
      <c r="X20" s="49"/>
      <c r="Y20" s="49">
        <v>1</v>
      </c>
      <c r="Z20" s="49"/>
      <c r="AA20" s="49"/>
      <c r="AB20" s="49"/>
      <c r="AC20" s="49">
        <v>1</v>
      </c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>
        <v>1</v>
      </c>
      <c r="AO20" s="49"/>
      <c r="AP20" s="49"/>
      <c r="AQ20" s="49">
        <v>10</v>
      </c>
      <c r="AR20" s="49"/>
      <c r="AS20" s="49"/>
    </row>
    <row r="21" spans="1:45" ht="15.75" x14ac:dyDescent="0.25">
      <c r="A21" s="38">
        <v>5</v>
      </c>
      <c r="B21" s="42" t="s">
        <v>414</v>
      </c>
      <c r="C21" s="75">
        <v>2</v>
      </c>
      <c r="D21" s="76">
        <v>1</v>
      </c>
      <c r="E21" s="76"/>
      <c r="F21" s="76"/>
      <c r="G21" s="76">
        <v>5</v>
      </c>
      <c r="H21" s="76">
        <v>1</v>
      </c>
      <c r="I21" s="76">
        <v>1</v>
      </c>
      <c r="J21" s="76"/>
      <c r="K21" s="76">
        <v>1</v>
      </c>
      <c r="L21" s="76">
        <v>1</v>
      </c>
      <c r="M21" s="76">
        <v>1</v>
      </c>
      <c r="N21" s="76"/>
      <c r="O21" s="76"/>
      <c r="P21" s="76">
        <v>1</v>
      </c>
      <c r="Q21" s="76"/>
      <c r="R21" s="76"/>
      <c r="S21" s="76">
        <v>1</v>
      </c>
      <c r="T21" s="76"/>
      <c r="U21" s="76"/>
      <c r="V21" s="49"/>
      <c r="W21" s="49"/>
      <c r="X21" s="49"/>
      <c r="Y21" s="49">
        <v>1</v>
      </c>
      <c r="Z21" s="49"/>
      <c r="AA21" s="49"/>
      <c r="AB21" s="49"/>
      <c r="AC21" s="49">
        <v>1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>
        <v>1</v>
      </c>
      <c r="AO21" s="49"/>
      <c r="AP21" s="49"/>
      <c r="AQ21" s="49">
        <v>10</v>
      </c>
      <c r="AR21" s="49"/>
      <c r="AS21" s="49"/>
    </row>
    <row r="22" spans="1:45" x14ac:dyDescent="0.25">
      <c r="A22" s="38">
        <v>6</v>
      </c>
      <c r="B22" s="110" t="s">
        <v>369</v>
      </c>
      <c r="C22" s="101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>
        <v>10</v>
      </c>
      <c r="AR22" s="102"/>
      <c r="AS22" s="102"/>
    </row>
    <row r="23" spans="1:45" ht="15.75" x14ac:dyDescent="0.25">
      <c r="A23" s="38">
        <v>7</v>
      </c>
      <c r="B23" s="86" t="s">
        <v>397</v>
      </c>
      <c r="C23" s="75">
        <v>2</v>
      </c>
      <c r="D23" s="76">
        <v>1</v>
      </c>
      <c r="E23" s="76"/>
      <c r="F23" s="76"/>
      <c r="G23" s="76">
        <v>5</v>
      </c>
      <c r="H23" s="76">
        <v>1</v>
      </c>
      <c r="I23" s="76">
        <v>1</v>
      </c>
      <c r="J23" s="76"/>
      <c r="K23" s="76">
        <v>1</v>
      </c>
      <c r="L23" s="76">
        <v>1</v>
      </c>
      <c r="M23" s="76">
        <v>1</v>
      </c>
      <c r="N23" s="76"/>
      <c r="O23" s="76"/>
      <c r="P23" s="76">
        <v>1</v>
      </c>
      <c r="Q23" s="76"/>
      <c r="R23" s="76"/>
      <c r="S23" s="76">
        <v>1</v>
      </c>
      <c r="T23" s="76"/>
      <c r="U23" s="76"/>
      <c r="V23" s="49"/>
      <c r="W23" s="49"/>
      <c r="X23" s="49"/>
      <c r="Y23" s="49">
        <v>1</v>
      </c>
      <c r="Z23" s="49"/>
      <c r="AA23" s="49"/>
      <c r="AB23" s="49"/>
      <c r="AC23" s="49">
        <v>1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>
        <v>1</v>
      </c>
      <c r="AO23" s="49"/>
      <c r="AP23" s="49"/>
      <c r="AQ23" s="49">
        <v>10</v>
      </c>
      <c r="AR23" s="49"/>
      <c r="AS23" s="49"/>
    </row>
    <row r="24" spans="1:45" ht="15.75" x14ac:dyDescent="0.25">
      <c r="A24" s="38">
        <v>8</v>
      </c>
      <c r="B24" s="86" t="s">
        <v>421</v>
      </c>
      <c r="C24" s="75">
        <v>2</v>
      </c>
      <c r="D24" s="76">
        <v>1</v>
      </c>
      <c r="E24" s="76"/>
      <c r="F24" s="76"/>
      <c r="G24" s="76">
        <v>5</v>
      </c>
      <c r="H24" s="76">
        <v>1</v>
      </c>
      <c r="I24" s="76">
        <v>1</v>
      </c>
      <c r="J24" s="76"/>
      <c r="K24" s="76">
        <v>1</v>
      </c>
      <c r="L24" s="76">
        <v>1</v>
      </c>
      <c r="M24" s="76">
        <v>1</v>
      </c>
      <c r="N24" s="76"/>
      <c r="O24" s="76"/>
      <c r="P24" s="76">
        <v>1</v>
      </c>
      <c r="Q24" s="76"/>
      <c r="R24" s="76"/>
      <c r="S24" s="76">
        <v>1</v>
      </c>
      <c r="T24" s="76"/>
      <c r="U24" s="76"/>
      <c r="V24" s="49"/>
      <c r="W24" s="49"/>
      <c r="X24" s="49"/>
      <c r="Y24" s="49">
        <v>1</v>
      </c>
      <c r="Z24" s="49"/>
      <c r="AA24" s="49"/>
      <c r="AB24" s="49"/>
      <c r="AC24" s="49">
        <v>1</v>
      </c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>
        <v>1</v>
      </c>
      <c r="AO24" s="49"/>
      <c r="AP24" s="49"/>
      <c r="AQ24" s="49">
        <v>10</v>
      </c>
      <c r="AR24" s="49"/>
      <c r="AS24" s="49"/>
    </row>
    <row r="25" spans="1:45" ht="15.75" x14ac:dyDescent="0.25">
      <c r="A25" s="38">
        <v>9</v>
      </c>
      <c r="B25" s="86" t="s">
        <v>422</v>
      </c>
      <c r="C25" s="75">
        <v>2</v>
      </c>
      <c r="D25" s="76">
        <v>1</v>
      </c>
      <c r="E25" s="76"/>
      <c r="F25" s="76"/>
      <c r="G25" s="76">
        <v>5</v>
      </c>
      <c r="H25" s="76">
        <v>1</v>
      </c>
      <c r="I25" s="76">
        <v>1</v>
      </c>
      <c r="J25" s="76"/>
      <c r="K25" s="76">
        <v>1</v>
      </c>
      <c r="L25" s="76">
        <v>1</v>
      </c>
      <c r="M25" s="76">
        <v>1</v>
      </c>
      <c r="N25" s="76"/>
      <c r="O25" s="76"/>
      <c r="P25" s="76">
        <v>1</v>
      </c>
      <c r="Q25" s="76"/>
      <c r="R25" s="76"/>
      <c r="S25" s="76">
        <v>1</v>
      </c>
      <c r="T25" s="76"/>
      <c r="U25" s="76"/>
      <c r="V25" s="49"/>
      <c r="W25" s="49"/>
      <c r="X25" s="49"/>
      <c r="Y25" s="49">
        <v>1</v>
      </c>
      <c r="Z25" s="49"/>
      <c r="AA25" s="49"/>
      <c r="AB25" s="49"/>
      <c r="AC25" s="49">
        <v>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>
        <v>1</v>
      </c>
      <c r="AO25" s="49"/>
      <c r="AP25" s="49"/>
      <c r="AQ25" s="49">
        <v>10</v>
      </c>
      <c r="AR25" s="49"/>
      <c r="AS25" s="49"/>
    </row>
    <row r="26" spans="1:45" ht="15.75" x14ac:dyDescent="0.25">
      <c r="A26" s="38">
        <v>10</v>
      </c>
      <c r="B26" s="86" t="s">
        <v>423</v>
      </c>
      <c r="C26" s="75">
        <v>2</v>
      </c>
      <c r="D26" s="76">
        <v>1</v>
      </c>
      <c r="E26" s="76"/>
      <c r="F26" s="76"/>
      <c r="G26" s="76">
        <v>5</v>
      </c>
      <c r="H26" s="76">
        <v>1</v>
      </c>
      <c r="I26" s="76">
        <v>1</v>
      </c>
      <c r="J26" s="76"/>
      <c r="K26" s="76">
        <v>1</v>
      </c>
      <c r="L26" s="76">
        <v>1</v>
      </c>
      <c r="M26" s="76">
        <v>1</v>
      </c>
      <c r="N26" s="76"/>
      <c r="O26" s="76"/>
      <c r="P26" s="76">
        <v>1</v>
      </c>
      <c r="Q26" s="76"/>
      <c r="R26" s="76"/>
      <c r="S26" s="76">
        <v>1</v>
      </c>
      <c r="T26" s="76"/>
      <c r="U26" s="76"/>
      <c r="V26" s="49"/>
      <c r="W26" s="49"/>
      <c r="X26" s="49"/>
      <c r="Y26" s="49">
        <v>1</v>
      </c>
      <c r="Z26" s="49"/>
      <c r="AA26" s="49"/>
      <c r="AB26" s="49"/>
      <c r="AC26" s="49">
        <v>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>
        <v>1</v>
      </c>
      <c r="AO26" s="49"/>
      <c r="AP26" s="49"/>
      <c r="AQ26" s="49">
        <v>10</v>
      </c>
      <c r="AR26" s="49"/>
      <c r="AS26" s="49"/>
    </row>
    <row r="27" spans="1:45" ht="31.5" x14ac:dyDescent="0.25">
      <c r="A27" s="38">
        <v>11</v>
      </c>
      <c r="B27" s="86" t="s">
        <v>424</v>
      </c>
      <c r="C27" s="75">
        <v>2</v>
      </c>
      <c r="D27" s="76">
        <v>1</v>
      </c>
      <c r="E27" s="76"/>
      <c r="F27" s="76"/>
      <c r="G27" s="76">
        <v>5</v>
      </c>
      <c r="H27" s="76">
        <v>1</v>
      </c>
      <c r="I27" s="76">
        <v>1</v>
      </c>
      <c r="J27" s="76"/>
      <c r="K27" s="76">
        <v>1</v>
      </c>
      <c r="L27" s="76">
        <v>1</v>
      </c>
      <c r="M27" s="76">
        <v>1</v>
      </c>
      <c r="N27" s="76"/>
      <c r="O27" s="76"/>
      <c r="P27" s="76">
        <v>1</v>
      </c>
      <c r="Q27" s="76"/>
      <c r="R27" s="76"/>
      <c r="S27" s="76">
        <v>1</v>
      </c>
      <c r="T27" s="76"/>
      <c r="U27" s="76"/>
      <c r="V27" s="49"/>
      <c r="W27" s="49"/>
      <c r="X27" s="49"/>
      <c r="Y27" s="49">
        <v>1</v>
      </c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>
        <v>1</v>
      </c>
      <c r="AO27" s="49"/>
      <c r="AP27" s="49"/>
      <c r="AQ27" s="49"/>
      <c r="AR27" s="49"/>
      <c r="AS27" s="49"/>
    </row>
    <row r="28" spans="1:45" ht="15.75" x14ac:dyDescent="0.25">
      <c r="A28" s="38">
        <v>12</v>
      </c>
      <c r="B28" s="86" t="s">
        <v>425</v>
      </c>
      <c r="C28" s="75">
        <v>2</v>
      </c>
      <c r="D28" s="76">
        <v>1</v>
      </c>
      <c r="E28" s="76"/>
      <c r="F28" s="76"/>
      <c r="G28" s="76">
        <v>5</v>
      </c>
      <c r="H28" s="76">
        <v>1</v>
      </c>
      <c r="I28" s="76">
        <v>1</v>
      </c>
      <c r="J28" s="76"/>
      <c r="K28" s="76">
        <v>1</v>
      </c>
      <c r="L28" s="76">
        <v>1</v>
      </c>
      <c r="M28" s="76">
        <v>1</v>
      </c>
      <c r="N28" s="76"/>
      <c r="O28" s="76"/>
      <c r="P28" s="76">
        <v>1</v>
      </c>
      <c r="Q28" s="76"/>
      <c r="R28" s="76"/>
      <c r="S28" s="76">
        <v>1</v>
      </c>
      <c r="T28" s="76"/>
      <c r="U28" s="76"/>
      <c r="V28" s="49"/>
      <c r="W28" s="49"/>
      <c r="X28" s="49"/>
      <c r="Y28" s="49">
        <v>1</v>
      </c>
      <c r="Z28" s="49"/>
      <c r="AA28" s="49"/>
      <c r="AB28" s="49"/>
      <c r="AC28" s="49">
        <v>1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>
        <v>1</v>
      </c>
      <c r="AO28" s="49"/>
      <c r="AP28" s="49"/>
      <c r="AQ28" s="49"/>
      <c r="AR28" s="49"/>
      <c r="AS28" s="49"/>
    </row>
    <row r="29" spans="1:45" ht="15.75" x14ac:dyDescent="0.25">
      <c r="A29" s="38">
        <v>13</v>
      </c>
      <c r="B29" s="86" t="s">
        <v>426</v>
      </c>
      <c r="C29" s="75">
        <v>2</v>
      </c>
      <c r="D29" s="76">
        <v>1</v>
      </c>
      <c r="E29" s="76"/>
      <c r="F29" s="76"/>
      <c r="G29" s="76">
        <v>5</v>
      </c>
      <c r="H29" s="76">
        <v>1</v>
      </c>
      <c r="I29" s="76">
        <v>1</v>
      </c>
      <c r="J29" s="76"/>
      <c r="K29" s="76">
        <v>1</v>
      </c>
      <c r="L29" s="76">
        <v>1</v>
      </c>
      <c r="M29" s="76">
        <v>1</v>
      </c>
      <c r="N29" s="76"/>
      <c r="O29" s="76"/>
      <c r="P29" s="76">
        <v>1</v>
      </c>
      <c r="Q29" s="76"/>
      <c r="R29" s="76"/>
      <c r="S29" s="76">
        <v>1</v>
      </c>
      <c r="T29" s="76"/>
      <c r="U29" s="76"/>
      <c r="V29" s="49"/>
      <c r="W29" s="49"/>
      <c r="X29" s="49"/>
      <c r="Y29" s="49">
        <v>1</v>
      </c>
      <c r="Z29" s="49"/>
      <c r="AA29" s="49"/>
      <c r="AB29" s="49"/>
      <c r="AC29" s="49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>
        <v>1</v>
      </c>
      <c r="AO29" s="49"/>
      <c r="AP29" s="49"/>
      <c r="AQ29" s="49">
        <v>10</v>
      </c>
      <c r="AR29" s="49"/>
      <c r="AS29" s="49"/>
    </row>
    <row r="30" spans="1:45" ht="15.75" x14ac:dyDescent="0.25">
      <c r="A30" s="38">
        <v>14</v>
      </c>
      <c r="B30" s="86" t="s">
        <v>427</v>
      </c>
      <c r="C30" s="75">
        <v>2</v>
      </c>
      <c r="D30" s="76">
        <v>1</v>
      </c>
      <c r="E30" s="76"/>
      <c r="F30" s="76"/>
      <c r="G30" s="76">
        <v>5</v>
      </c>
      <c r="H30" s="76">
        <v>1</v>
      </c>
      <c r="I30" s="76">
        <v>1</v>
      </c>
      <c r="J30" s="76"/>
      <c r="K30" s="76">
        <v>1</v>
      </c>
      <c r="L30" s="76">
        <v>1</v>
      </c>
      <c r="M30" s="76">
        <v>1</v>
      </c>
      <c r="N30" s="76"/>
      <c r="O30" s="76"/>
      <c r="P30" s="76">
        <v>1</v>
      </c>
      <c r="Q30" s="76"/>
      <c r="R30" s="76"/>
      <c r="S30" s="76">
        <v>1</v>
      </c>
      <c r="T30" s="76"/>
      <c r="U30" s="76"/>
      <c r="V30" s="49"/>
      <c r="W30" s="49"/>
      <c r="X30" s="49"/>
      <c r="Y30" s="49">
        <v>1</v>
      </c>
      <c r="Z30" s="49"/>
      <c r="AA30" s="49"/>
      <c r="AB30" s="49"/>
      <c r="AC30" s="49">
        <v>1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>
        <v>1</v>
      </c>
      <c r="AO30" s="49"/>
      <c r="AP30" s="49"/>
      <c r="AQ30" s="49">
        <v>10</v>
      </c>
      <c r="AR30" s="49"/>
      <c r="AS30" s="49"/>
    </row>
    <row r="31" spans="1:45" ht="15.75" x14ac:dyDescent="0.25">
      <c r="A31" s="38">
        <v>15</v>
      </c>
      <c r="B31" s="86" t="s">
        <v>428</v>
      </c>
      <c r="C31" s="75">
        <v>2</v>
      </c>
      <c r="D31" s="76">
        <v>1</v>
      </c>
      <c r="E31" s="76"/>
      <c r="F31" s="76"/>
      <c r="G31" s="76">
        <v>5</v>
      </c>
      <c r="H31" s="76">
        <v>1</v>
      </c>
      <c r="I31" s="76">
        <v>1</v>
      </c>
      <c r="J31" s="76"/>
      <c r="K31" s="76">
        <v>1</v>
      </c>
      <c r="L31" s="76">
        <v>1</v>
      </c>
      <c r="M31" s="76">
        <v>1</v>
      </c>
      <c r="N31" s="76"/>
      <c r="O31" s="76"/>
      <c r="P31" s="76">
        <v>1</v>
      </c>
      <c r="Q31" s="76"/>
      <c r="R31" s="76"/>
      <c r="S31" s="76">
        <v>1</v>
      </c>
      <c r="T31" s="76"/>
      <c r="U31" s="76"/>
      <c r="V31" s="49"/>
      <c r="W31" s="49"/>
      <c r="X31" s="49"/>
      <c r="Y31" s="49">
        <v>1</v>
      </c>
      <c r="Z31" s="49"/>
      <c r="AA31" s="49"/>
      <c r="AB31" s="49"/>
      <c r="AC31" s="49">
        <v>1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>
        <v>1</v>
      </c>
      <c r="AO31" s="49"/>
      <c r="AP31" s="49"/>
      <c r="AQ31" s="49">
        <v>10</v>
      </c>
      <c r="AR31" s="49"/>
      <c r="AS31" s="49"/>
    </row>
    <row r="32" spans="1:45" ht="15.75" x14ac:dyDescent="0.25">
      <c r="A32" s="38">
        <v>16</v>
      </c>
      <c r="B32" s="86" t="s">
        <v>429</v>
      </c>
      <c r="C32" s="75">
        <v>2</v>
      </c>
      <c r="D32" s="76">
        <v>1</v>
      </c>
      <c r="E32" s="76"/>
      <c r="F32" s="76"/>
      <c r="G32" s="76">
        <v>5</v>
      </c>
      <c r="H32" s="76">
        <v>1</v>
      </c>
      <c r="I32" s="76">
        <v>1</v>
      </c>
      <c r="J32" s="76"/>
      <c r="K32" s="76">
        <v>1</v>
      </c>
      <c r="L32" s="76">
        <v>1</v>
      </c>
      <c r="M32" s="76">
        <v>1</v>
      </c>
      <c r="N32" s="76"/>
      <c r="O32" s="76"/>
      <c r="P32" s="76">
        <v>1</v>
      </c>
      <c r="Q32" s="76"/>
      <c r="R32" s="76"/>
      <c r="S32" s="76">
        <v>1</v>
      </c>
      <c r="T32" s="76"/>
      <c r="U32" s="76"/>
      <c r="V32" s="49"/>
      <c r="W32" s="49"/>
      <c r="X32" s="49"/>
      <c r="Y32" s="49">
        <v>1</v>
      </c>
      <c r="Z32" s="49"/>
      <c r="AA32" s="49"/>
      <c r="AB32" s="49"/>
      <c r="AC32" s="49">
        <v>1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>
        <v>1</v>
      </c>
      <c r="AO32" s="49"/>
      <c r="AP32" s="49"/>
      <c r="AQ32" s="49">
        <v>10</v>
      </c>
      <c r="AR32" s="49"/>
      <c r="AS32" s="49"/>
    </row>
    <row r="33" spans="1:45" ht="15.75" x14ac:dyDescent="0.25">
      <c r="A33" s="38">
        <v>17</v>
      </c>
      <c r="B33" s="86" t="s">
        <v>430</v>
      </c>
      <c r="C33" s="75">
        <v>2</v>
      </c>
      <c r="D33" s="76">
        <v>1</v>
      </c>
      <c r="E33" s="76"/>
      <c r="F33" s="76"/>
      <c r="G33" s="76">
        <v>5</v>
      </c>
      <c r="H33" s="76">
        <v>1</v>
      </c>
      <c r="I33" s="76">
        <v>1</v>
      </c>
      <c r="J33" s="76"/>
      <c r="K33" s="76">
        <v>1</v>
      </c>
      <c r="L33" s="76">
        <v>1</v>
      </c>
      <c r="M33" s="76">
        <v>1</v>
      </c>
      <c r="N33" s="76"/>
      <c r="O33" s="76"/>
      <c r="P33" s="76">
        <v>1</v>
      </c>
      <c r="Q33" s="76"/>
      <c r="R33" s="76"/>
      <c r="S33" s="76">
        <v>1</v>
      </c>
      <c r="T33" s="76"/>
      <c r="U33" s="76"/>
      <c r="V33" s="49"/>
      <c r="W33" s="49"/>
      <c r="X33" s="49"/>
      <c r="Y33" s="49">
        <v>1</v>
      </c>
      <c r="Z33" s="49"/>
      <c r="AA33" s="49"/>
      <c r="AB33" s="49"/>
      <c r="AC33" s="49">
        <v>1</v>
      </c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>
        <v>1</v>
      </c>
      <c r="AO33" s="49"/>
      <c r="AP33" s="49"/>
      <c r="AQ33" s="49">
        <v>10</v>
      </c>
      <c r="AR33" s="49"/>
      <c r="AS33" s="49"/>
    </row>
    <row r="34" spans="1:45" ht="15.75" x14ac:dyDescent="0.25">
      <c r="A34" s="38">
        <v>18</v>
      </c>
      <c r="B34" s="86" t="s">
        <v>431</v>
      </c>
      <c r="C34" s="75">
        <v>2</v>
      </c>
      <c r="D34" s="76">
        <v>1</v>
      </c>
      <c r="E34" s="76"/>
      <c r="F34" s="76"/>
      <c r="G34" s="76">
        <v>5</v>
      </c>
      <c r="H34" s="76">
        <v>1</v>
      </c>
      <c r="I34" s="76">
        <v>1</v>
      </c>
      <c r="J34" s="76"/>
      <c r="K34" s="76">
        <v>1</v>
      </c>
      <c r="L34" s="76">
        <v>1</v>
      </c>
      <c r="M34" s="76">
        <v>1</v>
      </c>
      <c r="N34" s="76"/>
      <c r="O34" s="76"/>
      <c r="P34" s="76">
        <v>1</v>
      </c>
      <c r="Q34" s="76"/>
      <c r="R34" s="76"/>
      <c r="S34" s="76">
        <v>1</v>
      </c>
      <c r="T34" s="76"/>
      <c r="U34" s="76"/>
      <c r="V34" s="49"/>
      <c r="W34" s="49"/>
      <c r="X34" s="49"/>
      <c r="Y34" s="49">
        <v>1</v>
      </c>
      <c r="Z34" s="49"/>
      <c r="AA34" s="49"/>
      <c r="AB34" s="49"/>
      <c r="AC34" s="49">
        <v>1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>
        <v>1</v>
      </c>
      <c r="AO34" s="49"/>
      <c r="AP34" s="49"/>
      <c r="AQ34" s="49">
        <v>10</v>
      </c>
      <c r="AR34" s="49"/>
      <c r="AS34" s="49"/>
    </row>
    <row r="35" spans="1:45" ht="15.75" x14ac:dyDescent="0.25">
      <c r="A35" s="38">
        <v>19</v>
      </c>
      <c r="B35" s="86" t="s">
        <v>432</v>
      </c>
      <c r="C35" s="75">
        <v>2</v>
      </c>
      <c r="D35" s="76">
        <v>1</v>
      </c>
      <c r="E35" s="76"/>
      <c r="F35" s="76"/>
      <c r="G35" s="76">
        <v>5</v>
      </c>
      <c r="H35" s="76">
        <v>1</v>
      </c>
      <c r="I35" s="76">
        <v>1</v>
      </c>
      <c r="J35" s="76"/>
      <c r="K35" s="76">
        <v>1</v>
      </c>
      <c r="L35" s="76">
        <v>1</v>
      </c>
      <c r="M35" s="76">
        <v>1</v>
      </c>
      <c r="N35" s="76"/>
      <c r="O35" s="76"/>
      <c r="P35" s="76">
        <v>1</v>
      </c>
      <c r="Q35" s="76"/>
      <c r="R35" s="76"/>
      <c r="S35" s="76">
        <v>1</v>
      </c>
      <c r="T35" s="76"/>
      <c r="U35" s="76"/>
      <c r="V35" s="49"/>
      <c r="W35" s="49"/>
      <c r="X35" s="49"/>
      <c r="Y35" s="49">
        <v>1</v>
      </c>
      <c r="Z35" s="49"/>
      <c r="AA35" s="49"/>
      <c r="AB35" s="49"/>
      <c r="AC35" s="49">
        <v>1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>
        <v>1</v>
      </c>
      <c r="AO35" s="49"/>
      <c r="AP35" s="49"/>
      <c r="AQ35" s="49">
        <v>10</v>
      </c>
      <c r="AR35" s="49"/>
      <c r="AS35" s="49"/>
    </row>
    <row r="36" spans="1:45" ht="15.75" x14ac:dyDescent="0.25">
      <c r="A36" s="38">
        <v>20</v>
      </c>
      <c r="B36" s="86" t="s">
        <v>121</v>
      </c>
      <c r="C36" s="75">
        <v>2</v>
      </c>
      <c r="D36" s="76">
        <v>1</v>
      </c>
      <c r="E36" s="76"/>
      <c r="F36" s="76"/>
      <c r="G36" s="76">
        <v>5</v>
      </c>
      <c r="H36" s="76">
        <v>1</v>
      </c>
      <c r="I36" s="76">
        <v>1</v>
      </c>
      <c r="J36" s="76"/>
      <c r="K36" s="76">
        <v>1</v>
      </c>
      <c r="L36" s="76">
        <v>1</v>
      </c>
      <c r="M36" s="76">
        <v>1</v>
      </c>
      <c r="N36" s="76"/>
      <c r="O36" s="76"/>
      <c r="P36" s="76">
        <v>1</v>
      </c>
      <c r="Q36" s="76"/>
      <c r="R36" s="76"/>
      <c r="S36" s="76">
        <v>1</v>
      </c>
      <c r="T36" s="76"/>
      <c r="U36" s="76"/>
      <c r="V36" s="49"/>
      <c r="W36" s="49"/>
      <c r="X36" s="49"/>
      <c r="Y36" s="49">
        <v>1</v>
      </c>
      <c r="Z36" s="49"/>
      <c r="AA36" s="49"/>
      <c r="AB36" s="49"/>
      <c r="AC36" s="49">
        <v>1</v>
      </c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>
        <v>1</v>
      </c>
      <c r="AO36" s="49"/>
      <c r="AP36" s="49"/>
      <c r="AQ36" s="49">
        <v>10</v>
      </c>
      <c r="AR36" s="49"/>
      <c r="AS36" s="49"/>
    </row>
    <row r="37" spans="1:45" ht="15.75" x14ac:dyDescent="0.25">
      <c r="A37" s="38">
        <v>21</v>
      </c>
      <c r="B37" s="86" t="s">
        <v>395</v>
      </c>
      <c r="C37" s="75">
        <v>2</v>
      </c>
      <c r="D37" s="76">
        <v>1</v>
      </c>
      <c r="E37" s="76"/>
      <c r="F37" s="76"/>
      <c r="G37" s="76">
        <v>5</v>
      </c>
      <c r="H37" s="76">
        <v>1</v>
      </c>
      <c r="I37" s="76">
        <v>1</v>
      </c>
      <c r="J37" s="76"/>
      <c r="K37" s="76">
        <v>1</v>
      </c>
      <c r="L37" s="76">
        <v>1</v>
      </c>
      <c r="M37" s="76">
        <v>1</v>
      </c>
      <c r="N37" s="76"/>
      <c r="O37" s="76"/>
      <c r="P37" s="76">
        <v>1</v>
      </c>
      <c r="Q37" s="76"/>
      <c r="R37" s="76"/>
      <c r="S37" s="76">
        <v>1</v>
      </c>
      <c r="T37" s="76"/>
      <c r="U37" s="76"/>
      <c r="V37" s="49"/>
      <c r="W37" s="49"/>
      <c r="X37" s="49"/>
      <c r="Y37" s="49">
        <v>1</v>
      </c>
      <c r="Z37" s="49"/>
      <c r="AA37" s="49"/>
      <c r="AB37" s="49"/>
      <c r="AC37" s="49">
        <v>1</v>
      </c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>
        <v>1</v>
      </c>
      <c r="AO37" s="49"/>
      <c r="AP37" s="49"/>
      <c r="AQ37" s="49"/>
      <c r="AR37" s="49"/>
      <c r="AS37" s="49"/>
    </row>
    <row r="38" spans="1:45" ht="15.75" x14ac:dyDescent="0.25">
      <c r="A38" s="38">
        <v>22</v>
      </c>
      <c r="B38" s="86" t="s">
        <v>438</v>
      </c>
      <c r="C38" s="75">
        <v>2</v>
      </c>
      <c r="D38" s="76">
        <v>1</v>
      </c>
      <c r="E38" s="76"/>
      <c r="F38" s="76"/>
      <c r="G38" s="76">
        <v>5</v>
      </c>
      <c r="H38" s="76">
        <v>1</v>
      </c>
      <c r="I38" s="76">
        <v>1</v>
      </c>
      <c r="J38" s="76"/>
      <c r="K38" s="76">
        <v>1</v>
      </c>
      <c r="L38" s="76">
        <v>1</v>
      </c>
      <c r="M38" s="76">
        <v>1</v>
      </c>
      <c r="N38" s="76"/>
      <c r="O38" s="76"/>
      <c r="P38" s="76">
        <v>1</v>
      </c>
      <c r="Q38" s="76"/>
      <c r="R38" s="76"/>
      <c r="S38" s="76">
        <v>1</v>
      </c>
      <c r="T38" s="76"/>
      <c r="U38" s="76"/>
      <c r="V38" s="49"/>
      <c r="W38" s="49"/>
      <c r="X38" s="49"/>
      <c r="Y38" s="49">
        <v>1</v>
      </c>
      <c r="Z38" s="49"/>
      <c r="AA38" s="49"/>
      <c r="AB38" s="49"/>
      <c r="AC38" s="49">
        <v>1</v>
      </c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>
        <v>1</v>
      </c>
      <c r="AO38" s="49"/>
      <c r="AP38" s="49"/>
      <c r="AQ38" s="49">
        <v>10</v>
      </c>
      <c r="AR38" s="49"/>
      <c r="AS38" s="49"/>
    </row>
    <row r="39" spans="1:45" ht="15.75" x14ac:dyDescent="0.25">
      <c r="A39" s="38">
        <v>23</v>
      </c>
      <c r="B39" s="86" t="s">
        <v>491</v>
      </c>
      <c r="C39" s="75">
        <v>2</v>
      </c>
      <c r="D39" s="76">
        <v>1</v>
      </c>
      <c r="E39" s="76"/>
      <c r="F39" s="76"/>
      <c r="G39" s="76">
        <v>5</v>
      </c>
      <c r="H39" s="76">
        <v>1</v>
      </c>
      <c r="I39" s="76">
        <v>1</v>
      </c>
      <c r="J39" s="76"/>
      <c r="K39" s="76">
        <v>1</v>
      </c>
      <c r="L39" s="76">
        <v>1</v>
      </c>
      <c r="M39" s="76">
        <v>1</v>
      </c>
      <c r="N39" s="76"/>
      <c r="O39" s="76"/>
      <c r="P39" s="76">
        <v>1</v>
      </c>
      <c r="Q39" s="76"/>
      <c r="R39" s="76"/>
      <c r="S39" s="76">
        <v>1</v>
      </c>
      <c r="T39" s="76"/>
      <c r="U39" s="76"/>
      <c r="V39" s="49"/>
      <c r="W39" s="49"/>
      <c r="X39" s="49"/>
      <c r="Y39" s="49">
        <v>1</v>
      </c>
      <c r="Z39" s="49"/>
      <c r="AA39" s="49"/>
      <c r="AB39" s="49"/>
      <c r="AC39" s="49">
        <v>1</v>
      </c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>
        <v>1</v>
      </c>
      <c r="AO39" s="49"/>
      <c r="AP39" s="49"/>
      <c r="AQ39" s="49"/>
      <c r="AR39" s="49"/>
      <c r="AS39" s="49"/>
    </row>
    <row r="40" spans="1:45" ht="15.75" x14ac:dyDescent="0.25">
      <c r="A40" s="38">
        <v>24</v>
      </c>
      <c r="B40" s="86" t="s">
        <v>492</v>
      </c>
      <c r="C40" s="75">
        <v>2</v>
      </c>
      <c r="D40" s="76">
        <v>1</v>
      </c>
      <c r="E40" s="76"/>
      <c r="F40" s="76"/>
      <c r="G40" s="76">
        <v>5</v>
      </c>
      <c r="H40" s="76">
        <v>1</v>
      </c>
      <c r="I40" s="76">
        <v>1</v>
      </c>
      <c r="J40" s="76"/>
      <c r="K40" s="76">
        <v>1</v>
      </c>
      <c r="L40" s="76">
        <v>1</v>
      </c>
      <c r="M40" s="76">
        <v>1</v>
      </c>
      <c r="N40" s="76"/>
      <c r="O40" s="76"/>
      <c r="P40" s="76">
        <v>1</v>
      </c>
      <c r="Q40" s="76"/>
      <c r="R40" s="76"/>
      <c r="S40" s="76">
        <v>1</v>
      </c>
      <c r="T40" s="76"/>
      <c r="U40" s="76"/>
      <c r="V40" s="49"/>
      <c r="W40" s="49"/>
      <c r="X40" s="49"/>
      <c r="Y40" s="49">
        <v>1</v>
      </c>
      <c r="Z40" s="49"/>
      <c r="AA40" s="49"/>
      <c r="AB40" s="49"/>
      <c r="AC40" s="49">
        <v>1</v>
      </c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>
        <v>1</v>
      </c>
      <c r="AO40" s="49"/>
      <c r="AP40" s="49"/>
      <c r="AQ40" s="49">
        <v>10</v>
      </c>
      <c r="AR40" s="49"/>
      <c r="AS40" s="49"/>
    </row>
    <row r="41" spans="1:45" ht="15.75" x14ac:dyDescent="0.25">
      <c r="A41" s="38">
        <v>25</v>
      </c>
      <c r="B41" s="86" t="s">
        <v>493</v>
      </c>
      <c r="C41" s="75">
        <v>2</v>
      </c>
      <c r="D41" s="76">
        <v>1</v>
      </c>
      <c r="E41" s="76"/>
      <c r="F41" s="76"/>
      <c r="G41" s="76">
        <v>5</v>
      </c>
      <c r="H41" s="76">
        <v>1</v>
      </c>
      <c r="I41" s="76">
        <v>1</v>
      </c>
      <c r="J41" s="76"/>
      <c r="K41" s="76">
        <v>1</v>
      </c>
      <c r="L41" s="76">
        <v>1</v>
      </c>
      <c r="M41" s="76">
        <v>1</v>
      </c>
      <c r="N41" s="76"/>
      <c r="O41" s="76"/>
      <c r="P41" s="76">
        <v>1</v>
      </c>
      <c r="Q41" s="76"/>
      <c r="R41" s="76"/>
      <c r="S41" s="76">
        <v>1</v>
      </c>
      <c r="T41" s="76"/>
      <c r="U41" s="76"/>
      <c r="V41" s="49"/>
      <c r="W41" s="49"/>
      <c r="X41" s="49"/>
      <c r="Y41" s="49">
        <v>1</v>
      </c>
      <c r="Z41" s="49"/>
      <c r="AA41" s="49"/>
      <c r="AB41" s="49"/>
      <c r="AC41" s="49">
        <v>1</v>
      </c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>
        <v>1</v>
      </c>
      <c r="AO41" s="49"/>
      <c r="AP41" s="49"/>
      <c r="AQ41" s="49">
        <v>10</v>
      </c>
      <c r="AR41" s="49"/>
      <c r="AS41" s="49"/>
    </row>
    <row r="42" spans="1:45" ht="15.75" x14ac:dyDescent="0.25">
      <c r="A42" s="38">
        <v>26</v>
      </c>
      <c r="B42" s="86" t="s">
        <v>494</v>
      </c>
      <c r="C42" s="75">
        <v>2</v>
      </c>
      <c r="D42" s="76">
        <v>1</v>
      </c>
      <c r="E42" s="76"/>
      <c r="F42" s="76"/>
      <c r="G42" s="76">
        <v>5</v>
      </c>
      <c r="H42" s="76">
        <v>1</v>
      </c>
      <c r="I42" s="76">
        <v>1</v>
      </c>
      <c r="J42" s="76"/>
      <c r="K42" s="76">
        <v>1</v>
      </c>
      <c r="L42" s="76">
        <v>1</v>
      </c>
      <c r="M42" s="76">
        <v>1</v>
      </c>
      <c r="N42" s="76"/>
      <c r="O42" s="76"/>
      <c r="P42" s="76">
        <v>1</v>
      </c>
      <c r="Q42" s="76"/>
      <c r="R42" s="76"/>
      <c r="S42" s="76">
        <v>1</v>
      </c>
      <c r="T42" s="76"/>
      <c r="U42" s="76"/>
      <c r="V42" s="49"/>
      <c r="W42" s="49"/>
      <c r="X42" s="49"/>
      <c r="Y42" s="49">
        <v>1</v>
      </c>
      <c r="Z42" s="49"/>
      <c r="AA42" s="49"/>
      <c r="AB42" s="49"/>
      <c r="AC42" s="49">
        <v>1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>
        <v>1</v>
      </c>
      <c r="AO42" s="49"/>
      <c r="AP42" s="49"/>
      <c r="AQ42" s="49"/>
      <c r="AR42" s="49"/>
      <c r="AS42" s="49"/>
    </row>
    <row r="43" spans="1:45" ht="15.75" x14ac:dyDescent="0.25">
      <c r="A43" s="38">
        <v>27</v>
      </c>
      <c r="B43" s="86" t="s">
        <v>495</v>
      </c>
      <c r="C43" s="75">
        <v>2</v>
      </c>
      <c r="D43" s="76">
        <v>1</v>
      </c>
      <c r="E43" s="76"/>
      <c r="F43" s="76"/>
      <c r="G43" s="76">
        <v>5</v>
      </c>
      <c r="H43" s="76">
        <v>1</v>
      </c>
      <c r="I43" s="76">
        <v>1</v>
      </c>
      <c r="J43" s="76"/>
      <c r="K43" s="76">
        <v>1</v>
      </c>
      <c r="L43" s="76">
        <v>1</v>
      </c>
      <c r="M43" s="76">
        <v>1</v>
      </c>
      <c r="N43" s="76"/>
      <c r="O43" s="76"/>
      <c r="P43" s="76">
        <v>1</v>
      </c>
      <c r="Q43" s="76"/>
      <c r="R43" s="76"/>
      <c r="S43" s="76">
        <v>1</v>
      </c>
      <c r="T43" s="76"/>
      <c r="U43" s="76"/>
      <c r="V43" s="49"/>
      <c r="W43" s="49"/>
      <c r="X43" s="49"/>
      <c r="Y43" s="49">
        <v>1</v>
      </c>
      <c r="Z43" s="49"/>
      <c r="AA43" s="49"/>
      <c r="AB43" s="49"/>
      <c r="AC43" s="49">
        <v>1</v>
      </c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>
        <v>1</v>
      </c>
      <c r="AO43" s="49"/>
      <c r="AP43" s="49"/>
      <c r="AQ43" s="49">
        <v>10</v>
      </c>
      <c r="AR43" s="49"/>
      <c r="AS43" s="49"/>
    </row>
    <row r="44" spans="1:45" ht="15.75" x14ac:dyDescent="0.25">
      <c r="A44" s="38">
        <v>28</v>
      </c>
      <c r="B44" s="86" t="s">
        <v>496</v>
      </c>
      <c r="C44" s="75">
        <v>2</v>
      </c>
      <c r="D44" s="76">
        <v>1</v>
      </c>
      <c r="E44" s="76"/>
      <c r="F44" s="76"/>
      <c r="G44" s="76">
        <v>5</v>
      </c>
      <c r="H44" s="76">
        <v>1</v>
      </c>
      <c r="I44" s="76">
        <v>1</v>
      </c>
      <c r="J44" s="76"/>
      <c r="K44" s="76">
        <v>1</v>
      </c>
      <c r="L44" s="76">
        <v>1</v>
      </c>
      <c r="M44" s="76">
        <v>1</v>
      </c>
      <c r="N44" s="76"/>
      <c r="O44" s="76"/>
      <c r="P44" s="76">
        <v>1</v>
      </c>
      <c r="Q44" s="76"/>
      <c r="R44" s="76"/>
      <c r="S44" s="76">
        <v>1</v>
      </c>
      <c r="T44" s="76"/>
      <c r="U44" s="76"/>
      <c r="V44" s="49"/>
      <c r="W44" s="49"/>
      <c r="X44" s="49"/>
      <c r="Y44" s="49">
        <v>1</v>
      </c>
      <c r="Z44" s="49"/>
      <c r="AA44" s="49"/>
      <c r="AB44" s="49"/>
      <c r="AC44" s="49">
        <v>1</v>
      </c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>
        <v>1</v>
      </c>
      <c r="AO44" s="49"/>
      <c r="AP44" s="49"/>
      <c r="AQ44" s="49">
        <v>10</v>
      </c>
      <c r="AR44" s="49"/>
      <c r="AS44" s="49"/>
    </row>
    <row r="45" spans="1:45" ht="15.75" x14ac:dyDescent="0.25">
      <c r="A45" s="38">
        <v>29</v>
      </c>
      <c r="B45" s="86" t="s">
        <v>497</v>
      </c>
      <c r="C45" s="75">
        <v>2</v>
      </c>
      <c r="D45" s="76">
        <v>1</v>
      </c>
      <c r="E45" s="76"/>
      <c r="F45" s="76"/>
      <c r="G45" s="76">
        <v>5</v>
      </c>
      <c r="H45" s="76">
        <v>1</v>
      </c>
      <c r="I45" s="76">
        <v>1</v>
      </c>
      <c r="J45" s="76"/>
      <c r="K45" s="76">
        <v>1</v>
      </c>
      <c r="L45" s="76">
        <v>1</v>
      </c>
      <c r="M45" s="76">
        <v>1</v>
      </c>
      <c r="N45" s="76"/>
      <c r="O45" s="76"/>
      <c r="P45" s="76">
        <v>1</v>
      </c>
      <c r="Q45" s="76"/>
      <c r="R45" s="76"/>
      <c r="S45" s="76">
        <v>1</v>
      </c>
      <c r="T45" s="76"/>
      <c r="U45" s="76"/>
      <c r="V45" s="49"/>
      <c r="W45" s="49"/>
      <c r="X45" s="49"/>
      <c r="Y45" s="49">
        <v>1</v>
      </c>
      <c r="Z45" s="49"/>
      <c r="AA45" s="49"/>
      <c r="AB45" s="49"/>
      <c r="AC45" s="49">
        <v>1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>
        <v>1</v>
      </c>
      <c r="AO45" s="49"/>
      <c r="AP45" s="49"/>
      <c r="AQ45" s="49">
        <v>10</v>
      </c>
      <c r="AR45" s="49"/>
      <c r="AS45" s="49"/>
    </row>
    <row r="46" spans="1:45" ht="15.75" x14ac:dyDescent="0.25">
      <c r="A46" s="38">
        <v>30</v>
      </c>
      <c r="B46" s="86" t="s">
        <v>498</v>
      </c>
      <c r="C46" s="75">
        <v>2</v>
      </c>
      <c r="D46" s="76">
        <v>1</v>
      </c>
      <c r="E46" s="76"/>
      <c r="F46" s="76"/>
      <c r="G46" s="76">
        <v>5</v>
      </c>
      <c r="H46" s="76">
        <v>1</v>
      </c>
      <c r="I46" s="76">
        <v>1</v>
      </c>
      <c r="J46" s="76"/>
      <c r="K46" s="76">
        <v>1</v>
      </c>
      <c r="L46" s="76">
        <v>1</v>
      </c>
      <c r="M46" s="76">
        <v>1</v>
      </c>
      <c r="N46" s="76"/>
      <c r="O46" s="76"/>
      <c r="P46" s="76">
        <v>1</v>
      </c>
      <c r="Q46" s="76"/>
      <c r="R46" s="76"/>
      <c r="S46" s="76">
        <v>1</v>
      </c>
      <c r="T46" s="76"/>
      <c r="U46" s="76"/>
      <c r="V46" s="49"/>
      <c r="W46" s="49"/>
      <c r="X46" s="49"/>
      <c r="Y46" s="49">
        <v>1</v>
      </c>
      <c r="Z46" s="49"/>
      <c r="AA46" s="49"/>
      <c r="AB46" s="49"/>
      <c r="AC46" s="49">
        <v>1</v>
      </c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>
        <v>1</v>
      </c>
      <c r="AO46" s="49"/>
      <c r="AP46" s="49"/>
      <c r="AQ46" s="49">
        <v>10</v>
      </c>
      <c r="AR46" s="49"/>
      <c r="AS46" s="49"/>
    </row>
    <row r="47" spans="1:45" ht="15.75" x14ac:dyDescent="0.25">
      <c r="A47" s="38">
        <v>31</v>
      </c>
      <c r="B47" s="86" t="s">
        <v>433</v>
      </c>
      <c r="C47" s="75">
        <v>2</v>
      </c>
      <c r="D47" s="76">
        <v>1</v>
      </c>
      <c r="E47" s="76"/>
      <c r="F47" s="76"/>
      <c r="G47" s="76">
        <v>5</v>
      </c>
      <c r="H47" s="76">
        <v>1</v>
      </c>
      <c r="I47" s="76">
        <v>1</v>
      </c>
      <c r="J47" s="76"/>
      <c r="K47" s="76">
        <v>1</v>
      </c>
      <c r="L47" s="76">
        <v>1</v>
      </c>
      <c r="M47" s="76">
        <v>1</v>
      </c>
      <c r="N47" s="76"/>
      <c r="O47" s="76"/>
      <c r="P47" s="76">
        <v>1</v>
      </c>
      <c r="Q47" s="76"/>
      <c r="R47" s="76"/>
      <c r="S47" s="76">
        <v>1</v>
      </c>
      <c r="T47" s="76"/>
      <c r="U47" s="76"/>
      <c r="V47" s="49"/>
      <c r="W47" s="49"/>
      <c r="X47" s="49"/>
      <c r="Y47" s="49">
        <v>1</v>
      </c>
      <c r="Z47" s="49"/>
      <c r="AA47" s="49"/>
      <c r="AB47" s="49"/>
      <c r="AC47" s="49">
        <v>1</v>
      </c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>
        <v>1</v>
      </c>
      <c r="AO47" s="49"/>
      <c r="AP47" s="49"/>
      <c r="AQ47" s="49">
        <v>10</v>
      </c>
      <c r="AR47" s="49"/>
      <c r="AS47" s="49"/>
    </row>
    <row r="48" spans="1:45" ht="18.75" x14ac:dyDescent="0.25">
      <c r="A48" s="25"/>
      <c r="B48" s="48" t="s">
        <v>1</v>
      </c>
      <c r="C48" s="34">
        <f t="shared" ref="C48:AS48" si="0">SUM(C17:C47)</f>
        <v>60</v>
      </c>
      <c r="D48" s="34">
        <f t="shared" si="0"/>
        <v>30</v>
      </c>
      <c r="E48" s="34">
        <f t="shared" si="0"/>
        <v>0</v>
      </c>
      <c r="F48" s="34">
        <f t="shared" si="0"/>
        <v>0</v>
      </c>
      <c r="G48" s="34">
        <f t="shared" si="0"/>
        <v>150</v>
      </c>
      <c r="H48" s="34">
        <f t="shared" si="0"/>
        <v>30</v>
      </c>
      <c r="I48" s="34">
        <f t="shared" si="0"/>
        <v>30</v>
      </c>
      <c r="J48" s="34">
        <f t="shared" si="0"/>
        <v>0</v>
      </c>
      <c r="K48" s="34">
        <f t="shared" si="0"/>
        <v>30</v>
      </c>
      <c r="L48" s="34">
        <f t="shared" si="0"/>
        <v>30</v>
      </c>
      <c r="M48" s="34">
        <f t="shared" si="0"/>
        <v>30</v>
      </c>
      <c r="N48" s="34">
        <f t="shared" si="0"/>
        <v>0</v>
      </c>
      <c r="O48" s="34">
        <f t="shared" si="0"/>
        <v>0</v>
      </c>
      <c r="P48" s="34">
        <f t="shared" si="0"/>
        <v>30</v>
      </c>
      <c r="Q48" s="34">
        <f t="shared" si="0"/>
        <v>0</v>
      </c>
      <c r="R48" s="34">
        <f t="shared" si="0"/>
        <v>0</v>
      </c>
      <c r="S48" s="34">
        <f t="shared" si="0"/>
        <v>30</v>
      </c>
      <c r="T48" s="34">
        <f t="shared" si="0"/>
        <v>0</v>
      </c>
      <c r="U48" s="34">
        <f t="shared" si="0"/>
        <v>0</v>
      </c>
      <c r="V48" s="34">
        <f t="shared" si="0"/>
        <v>0</v>
      </c>
      <c r="W48" s="34">
        <f t="shared" si="0"/>
        <v>0</v>
      </c>
      <c r="X48" s="34">
        <f t="shared" si="0"/>
        <v>0</v>
      </c>
      <c r="Y48" s="34">
        <f t="shared" si="0"/>
        <v>30</v>
      </c>
      <c r="Z48" s="34">
        <f t="shared" si="0"/>
        <v>0</v>
      </c>
      <c r="AA48" s="34">
        <f t="shared" si="0"/>
        <v>0</v>
      </c>
      <c r="AB48" s="34">
        <f t="shared" si="0"/>
        <v>0</v>
      </c>
      <c r="AC48" s="34">
        <f t="shared" si="0"/>
        <v>30</v>
      </c>
      <c r="AD48" s="34">
        <f t="shared" si="0"/>
        <v>0</v>
      </c>
      <c r="AE48" s="34">
        <f t="shared" si="0"/>
        <v>0</v>
      </c>
      <c r="AF48" s="34">
        <f t="shared" si="0"/>
        <v>0</v>
      </c>
      <c r="AG48" s="34">
        <f t="shared" si="0"/>
        <v>0</v>
      </c>
      <c r="AH48" s="34">
        <f t="shared" si="0"/>
        <v>0</v>
      </c>
      <c r="AI48" s="34">
        <f t="shared" si="0"/>
        <v>0</v>
      </c>
      <c r="AJ48" s="34">
        <f t="shared" si="0"/>
        <v>0</v>
      </c>
      <c r="AK48" s="34">
        <f t="shared" si="0"/>
        <v>0</v>
      </c>
      <c r="AL48" s="34">
        <f t="shared" si="0"/>
        <v>0</v>
      </c>
      <c r="AM48" s="34">
        <f t="shared" si="0"/>
        <v>0</v>
      </c>
      <c r="AN48" s="34">
        <f t="shared" si="0"/>
        <v>30</v>
      </c>
      <c r="AO48" s="34">
        <f t="shared" si="0"/>
        <v>0</v>
      </c>
      <c r="AP48" s="34">
        <f t="shared" si="0"/>
        <v>0</v>
      </c>
      <c r="AQ48" s="34">
        <f t="shared" si="0"/>
        <v>260</v>
      </c>
      <c r="AR48" s="34">
        <f t="shared" si="0"/>
        <v>0</v>
      </c>
      <c r="AS48" s="34">
        <f t="shared" si="0"/>
        <v>0</v>
      </c>
    </row>
    <row r="52" spans="2:24" ht="15.75" x14ac:dyDescent="0.25">
      <c r="B52" s="63" t="s">
        <v>291</v>
      </c>
      <c r="C52" s="64" t="s">
        <v>300</v>
      </c>
      <c r="I52" s="65"/>
      <c r="J52" s="65"/>
      <c r="K52" s="65"/>
      <c r="L52" s="65"/>
      <c r="M52" s="65"/>
      <c r="N52" s="65"/>
      <c r="O52" s="65"/>
      <c r="R52" s="66"/>
      <c r="S52" s="66"/>
      <c r="T52" s="66"/>
      <c r="U52" s="66"/>
      <c r="V52" s="66"/>
      <c r="W52" s="66"/>
      <c r="X52" s="66"/>
    </row>
    <row r="53" spans="2:24" ht="15.75" x14ac:dyDescent="0.25">
      <c r="C53"/>
      <c r="K53" s="67" t="s">
        <v>293</v>
      </c>
      <c r="U53" s="64" t="s">
        <v>292</v>
      </c>
    </row>
  </sheetData>
  <mergeCells count="7">
    <mergeCell ref="A10:AS10"/>
    <mergeCell ref="A11:AS11"/>
    <mergeCell ref="A14:A15"/>
    <mergeCell ref="B14:B15"/>
    <mergeCell ref="C14:AS14"/>
    <mergeCell ref="R12:S12"/>
    <mergeCell ref="T12:U12"/>
  </mergeCells>
  <conditionalFormatting sqref="B17">
    <cfRule type="duplicateValues" dxfId="107" priority="9"/>
    <cfRule type="duplicateValues" dxfId="106" priority="10"/>
    <cfRule type="duplicateValues" dxfId="105" priority="11"/>
    <cfRule type="duplicateValues" dxfId="104" priority="12"/>
  </conditionalFormatting>
  <conditionalFormatting sqref="B18:B19 B21">
    <cfRule type="duplicateValues" dxfId="103" priority="673"/>
    <cfRule type="duplicateValues" dxfId="102" priority="674"/>
  </conditionalFormatting>
  <conditionalFormatting sqref="B20">
    <cfRule type="duplicateValues" dxfId="101" priority="21"/>
    <cfRule type="duplicateValues" dxfId="100" priority="22"/>
    <cfRule type="duplicateValues" dxfId="99" priority="23"/>
  </conditionalFormatting>
  <conditionalFormatting sqref="B22:B47">
    <cfRule type="duplicateValues" dxfId="98" priority="782"/>
    <cfRule type="duplicateValues" dxfId="97" priority="783"/>
    <cfRule type="duplicateValues" dxfId="96" priority="784"/>
    <cfRule type="duplicateValues" dxfId="95" priority="785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6FF99"/>
    <pageSetUpPr fitToPage="1"/>
  </sheetPr>
  <dimension ref="A10:AS25"/>
  <sheetViews>
    <sheetView view="pageBreakPreview" topLeftCell="A7" zoomScaleSheetLayoutView="100" workbookViewId="0">
      <selection activeCell="B17" sqref="B17:B19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294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 t="s">
        <v>288</v>
      </c>
      <c r="T12" s="112" t="str">
        <f>'Справочник-не смотрим!'!B1</f>
        <v>февраль</v>
      </c>
      <c r="U12" s="112"/>
      <c r="V12" s="112">
        <f>'Справочник-не смотрим!'!B2</f>
        <v>2026</v>
      </c>
      <c r="W12" s="112"/>
      <c r="X12" s="61" t="s">
        <v>289</v>
      </c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106">
        <v>1</v>
      </c>
      <c r="B17" s="42" t="s">
        <v>316</v>
      </c>
      <c r="C17" s="76">
        <v>2</v>
      </c>
      <c r="D17" s="76">
        <v>1</v>
      </c>
      <c r="E17" s="76"/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/>
      <c r="N17" s="76"/>
      <c r="O17" s="76"/>
      <c r="P17" s="76"/>
      <c r="Q17" s="76"/>
      <c r="R17" s="76"/>
      <c r="S17" s="76"/>
      <c r="T17" s="76"/>
      <c r="U17" s="76"/>
      <c r="V17" s="49"/>
      <c r="W17" s="49"/>
      <c r="X17" s="49"/>
      <c r="Y17" s="49">
        <v>1</v>
      </c>
      <c r="Z17" s="49">
        <v>1</v>
      </c>
      <c r="AA17" s="49">
        <v>1</v>
      </c>
      <c r="AB17" s="49">
        <v>1</v>
      </c>
      <c r="AC17" s="49">
        <v>1</v>
      </c>
      <c r="AD17" s="49">
        <v>1</v>
      </c>
      <c r="AE17" s="49">
        <v>1</v>
      </c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</row>
    <row r="18" spans="1:45" ht="15.75" x14ac:dyDescent="0.25">
      <c r="A18" s="106">
        <v>2</v>
      </c>
      <c r="B18" s="42" t="s">
        <v>435</v>
      </c>
      <c r="C18" s="76">
        <v>2</v>
      </c>
      <c r="D18" s="76">
        <v>1</v>
      </c>
      <c r="E18" s="76"/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/>
      <c r="N18" s="76"/>
      <c r="O18" s="76"/>
      <c r="P18" s="76"/>
      <c r="Q18" s="76"/>
      <c r="R18" s="76"/>
      <c r="S18" s="76"/>
      <c r="T18" s="76"/>
      <c r="U18" s="76"/>
      <c r="V18" s="49"/>
      <c r="W18" s="49"/>
      <c r="X18" s="49"/>
      <c r="Y18" s="49">
        <v>1</v>
      </c>
      <c r="Z18" s="49">
        <v>1</v>
      </c>
      <c r="AA18" s="49">
        <v>1</v>
      </c>
      <c r="AB18" s="49">
        <v>1</v>
      </c>
      <c r="AC18" s="49">
        <v>1</v>
      </c>
      <c r="AD18" s="49">
        <v>1</v>
      </c>
      <c r="AE18" s="49">
        <v>1</v>
      </c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</row>
    <row r="19" spans="1:45" ht="15.75" x14ac:dyDescent="0.25">
      <c r="A19" s="106">
        <v>3</v>
      </c>
      <c r="B19" s="42" t="s">
        <v>436</v>
      </c>
      <c r="C19" s="76">
        <v>2</v>
      </c>
      <c r="D19" s="76">
        <v>1</v>
      </c>
      <c r="E19" s="76"/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/>
      <c r="N19" s="76"/>
      <c r="O19" s="76"/>
      <c r="P19" s="76"/>
      <c r="Q19" s="76"/>
      <c r="R19" s="76"/>
      <c r="S19" s="76"/>
      <c r="T19" s="76"/>
      <c r="U19" s="76"/>
      <c r="V19" s="49"/>
      <c r="W19" s="49"/>
      <c r="X19" s="49"/>
      <c r="Y19" s="49">
        <v>1</v>
      </c>
      <c r="Z19" s="49">
        <v>1</v>
      </c>
      <c r="AA19" s="49">
        <v>1</v>
      </c>
      <c r="AB19" s="49">
        <v>1</v>
      </c>
      <c r="AC19" s="49">
        <v>1</v>
      </c>
      <c r="AD19" s="49">
        <v>1</v>
      </c>
      <c r="AE19" s="49">
        <v>1</v>
      </c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>
        <v>10</v>
      </c>
      <c r="AR19" s="49"/>
      <c r="AS19" s="49"/>
    </row>
    <row r="20" spans="1:45" ht="18.75" x14ac:dyDescent="0.25">
      <c r="A20" s="104"/>
      <c r="B20" s="48" t="s">
        <v>1</v>
      </c>
      <c r="C20" s="105">
        <f>C17+C18+C19</f>
        <v>6</v>
      </c>
      <c r="D20" s="105">
        <f t="shared" ref="D20:AS20" si="0">D17+D18+D19</f>
        <v>3</v>
      </c>
      <c r="E20" s="105">
        <f t="shared" si="0"/>
        <v>0</v>
      </c>
      <c r="F20" s="105">
        <f t="shared" si="0"/>
        <v>0</v>
      </c>
      <c r="G20" s="105">
        <f t="shared" si="0"/>
        <v>15</v>
      </c>
      <c r="H20" s="105">
        <f t="shared" si="0"/>
        <v>3</v>
      </c>
      <c r="I20" s="105">
        <f t="shared" si="0"/>
        <v>3</v>
      </c>
      <c r="J20" s="105">
        <f t="shared" si="0"/>
        <v>0</v>
      </c>
      <c r="K20" s="105">
        <f t="shared" si="0"/>
        <v>3</v>
      </c>
      <c r="L20" s="105">
        <f t="shared" si="0"/>
        <v>3</v>
      </c>
      <c r="M20" s="105">
        <f t="shared" si="0"/>
        <v>0</v>
      </c>
      <c r="N20" s="105">
        <f t="shared" si="0"/>
        <v>0</v>
      </c>
      <c r="O20" s="105">
        <f t="shared" si="0"/>
        <v>0</v>
      </c>
      <c r="P20" s="105">
        <f t="shared" si="0"/>
        <v>0</v>
      </c>
      <c r="Q20" s="105">
        <f t="shared" si="0"/>
        <v>0</v>
      </c>
      <c r="R20" s="105">
        <f t="shared" si="0"/>
        <v>0</v>
      </c>
      <c r="S20" s="105">
        <f t="shared" si="0"/>
        <v>0</v>
      </c>
      <c r="T20" s="105">
        <f t="shared" si="0"/>
        <v>0</v>
      </c>
      <c r="U20" s="105">
        <f t="shared" si="0"/>
        <v>0</v>
      </c>
      <c r="V20" s="105">
        <f t="shared" si="0"/>
        <v>0</v>
      </c>
      <c r="W20" s="105">
        <f t="shared" si="0"/>
        <v>0</v>
      </c>
      <c r="X20" s="105">
        <f t="shared" si="0"/>
        <v>0</v>
      </c>
      <c r="Y20" s="105">
        <f t="shared" si="0"/>
        <v>3</v>
      </c>
      <c r="Z20" s="105">
        <f t="shared" si="0"/>
        <v>3</v>
      </c>
      <c r="AA20" s="105">
        <f t="shared" si="0"/>
        <v>3</v>
      </c>
      <c r="AB20" s="105">
        <f t="shared" si="0"/>
        <v>3</v>
      </c>
      <c r="AC20" s="105">
        <f t="shared" si="0"/>
        <v>3</v>
      </c>
      <c r="AD20" s="105">
        <f t="shared" si="0"/>
        <v>3</v>
      </c>
      <c r="AE20" s="105">
        <f t="shared" si="0"/>
        <v>3</v>
      </c>
      <c r="AF20" s="105">
        <f t="shared" si="0"/>
        <v>0</v>
      </c>
      <c r="AG20" s="105">
        <f t="shared" si="0"/>
        <v>0</v>
      </c>
      <c r="AH20" s="105">
        <f t="shared" si="0"/>
        <v>0</v>
      </c>
      <c r="AI20" s="105">
        <f t="shared" si="0"/>
        <v>0</v>
      </c>
      <c r="AJ20" s="105">
        <f t="shared" si="0"/>
        <v>0</v>
      </c>
      <c r="AK20" s="105">
        <f t="shared" si="0"/>
        <v>0</v>
      </c>
      <c r="AL20" s="105">
        <f t="shared" si="0"/>
        <v>0</v>
      </c>
      <c r="AM20" s="105">
        <f t="shared" si="0"/>
        <v>0</v>
      </c>
      <c r="AN20" s="105">
        <f t="shared" si="0"/>
        <v>0</v>
      </c>
      <c r="AO20" s="105">
        <f t="shared" si="0"/>
        <v>0</v>
      </c>
      <c r="AP20" s="105">
        <f t="shared" si="0"/>
        <v>0</v>
      </c>
      <c r="AQ20" s="105">
        <f t="shared" si="0"/>
        <v>10</v>
      </c>
      <c r="AR20" s="105">
        <f t="shared" si="0"/>
        <v>0</v>
      </c>
      <c r="AS20" s="105">
        <f t="shared" si="0"/>
        <v>0</v>
      </c>
    </row>
    <row r="24" spans="1:45" ht="15.75" x14ac:dyDescent="0.25">
      <c r="B24" s="63" t="s">
        <v>291</v>
      </c>
      <c r="C24" s="64" t="s">
        <v>300</v>
      </c>
      <c r="I24" s="65"/>
      <c r="J24" s="65"/>
      <c r="K24" s="65"/>
      <c r="L24" s="65"/>
      <c r="M24" s="65"/>
      <c r="N24" s="65"/>
      <c r="O24" s="65"/>
      <c r="R24" s="66"/>
      <c r="S24" s="66"/>
      <c r="T24" s="66"/>
      <c r="U24" s="66"/>
      <c r="V24" s="66"/>
      <c r="W24" s="66"/>
      <c r="X24" s="66"/>
    </row>
    <row r="25" spans="1:45" ht="15.75" x14ac:dyDescent="0.25">
      <c r="C25"/>
      <c r="K25" s="67" t="s">
        <v>293</v>
      </c>
      <c r="U25" s="64" t="s">
        <v>292</v>
      </c>
    </row>
  </sheetData>
  <mergeCells count="7">
    <mergeCell ref="A10:AS10"/>
    <mergeCell ref="A11:AS11"/>
    <mergeCell ref="A14:A15"/>
    <mergeCell ref="B14:B15"/>
    <mergeCell ref="C14:AS14"/>
    <mergeCell ref="T12:U12"/>
    <mergeCell ref="V12:W12"/>
  </mergeCells>
  <conditionalFormatting sqref="B17">
    <cfRule type="duplicateValues" dxfId="94" priority="2"/>
  </conditionalFormatting>
  <conditionalFormatting sqref="B18:B19">
    <cfRule type="duplicateValues" dxfId="93" priority="1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59999389629810485"/>
    <pageSetUpPr fitToPage="1"/>
  </sheetPr>
  <dimension ref="A10:AS74"/>
  <sheetViews>
    <sheetView view="pageBreakPreview" topLeftCell="A37" zoomScaleNormal="100" zoomScaleSheetLayoutView="100" workbookViewId="0">
      <selection activeCell="B17" sqref="B17:B68"/>
    </sheetView>
  </sheetViews>
  <sheetFormatPr defaultRowHeight="15" x14ac:dyDescent="0.25"/>
  <cols>
    <col min="1" max="1" width="5.28515625" customWidth="1"/>
    <col min="2" max="2" width="45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295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 t="s">
        <v>288</v>
      </c>
      <c r="R12" s="112" t="str">
        <f>'Справочник-не смотрим!'!B1</f>
        <v>февраль</v>
      </c>
      <c r="S12" s="112"/>
      <c r="T12" s="112">
        <f>'Справочник-не смотрим!'!B2</f>
        <v>2026</v>
      </c>
      <c r="U12" s="112"/>
      <c r="V12" s="61" t="s">
        <v>289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87">
        <v>1</v>
      </c>
      <c r="B17" s="42" t="s">
        <v>151</v>
      </c>
      <c r="C17" s="75">
        <v>2</v>
      </c>
      <c r="D17" s="76">
        <v>1</v>
      </c>
      <c r="E17" s="76">
        <v>1</v>
      </c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>
        <v>1</v>
      </c>
      <c r="N17" s="76"/>
      <c r="O17" s="76">
        <v>1</v>
      </c>
      <c r="P17" s="76">
        <v>1</v>
      </c>
      <c r="Q17" s="76"/>
      <c r="R17" s="76"/>
      <c r="S17" s="76">
        <v>1</v>
      </c>
      <c r="T17" s="76"/>
      <c r="U17" s="76">
        <v>1</v>
      </c>
      <c r="V17" s="76">
        <v>1</v>
      </c>
      <c r="W17" s="76"/>
      <c r="X17" s="76"/>
      <c r="Y17" s="49"/>
      <c r="Z17" s="49"/>
      <c r="AA17" s="49"/>
      <c r="AB17" s="49"/>
      <c r="AC17" s="49">
        <v>1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>
        <v>1</v>
      </c>
      <c r="AO17" s="49"/>
      <c r="AP17" s="49"/>
      <c r="AQ17" s="49">
        <v>30</v>
      </c>
      <c r="AR17" s="49"/>
      <c r="AS17" s="49">
        <v>1</v>
      </c>
    </row>
    <row r="18" spans="1:45" s="42" customFormat="1" ht="15.75" x14ac:dyDescent="0.25">
      <c r="A18" s="42">
        <v>2</v>
      </c>
      <c r="B18" s="42" t="s">
        <v>154</v>
      </c>
      <c r="C18" s="75">
        <v>2</v>
      </c>
      <c r="D18" s="76">
        <v>1</v>
      </c>
      <c r="E18" s="76">
        <v>1</v>
      </c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>
        <v>1</v>
      </c>
      <c r="N18" s="76"/>
      <c r="O18" s="76">
        <v>1</v>
      </c>
      <c r="P18" s="76">
        <v>1</v>
      </c>
      <c r="Q18" s="76"/>
      <c r="R18" s="76"/>
      <c r="S18" s="76">
        <v>1</v>
      </c>
      <c r="T18" s="76"/>
      <c r="U18" s="76">
        <v>1</v>
      </c>
      <c r="V18" s="76">
        <v>1</v>
      </c>
      <c r="W18" s="76"/>
      <c r="X18" s="76"/>
      <c r="Y18" s="49"/>
      <c r="Z18" s="49"/>
      <c r="AA18" s="49"/>
      <c r="AB18" s="49"/>
      <c r="AC18" s="49">
        <v>1</v>
      </c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>
        <v>1</v>
      </c>
      <c r="AO18" s="49"/>
      <c r="AP18" s="49"/>
      <c r="AQ18" s="49">
        <v>40</v>
      </c>
      <c r="AR18" s="49"/>
      <c r="AS18" s="49">
        <v>1</v>
      </c>
    </row>
    <row r="19" spans="1:45" ht="15.75" x14ac:dyDescent="0.25">
      <c r="A19" s="87">
        <v>3</v>
      </c>
      <c r="B19" s="42" t="s">
        <v>156</v>
      </c>
      <c r="C19" s="75">
        <v>2</v>
      </c>
      <c r="D19" s="76">
        <v>1</v>
      </c>
      <c r="E19" s="76">
        <v>1</v>
      </c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>
        <v>1</v>
      </c>
      <c r="N19" s="76"/>
      <c r="O19" s="76">
        <v>1</v>
      </c>
      <c r="P19" s="76">
        <v>1</v>
      </c>
      <c r="Q19" s="76"/>
      <c r="R19" s="76"/>
      <c r="S19" s="76">
        <v>1</v>
      </c>
      <c r="T19" s="76"/>
      <c r="U19" s="76">
        <v>1</v>
      </c>
      <c r="V19" s="76">
        <v>1</v>
      </c>
      <c r="W19" s="76"/>
      <c r="X19" s="76"/>
      <c r="Y19" s="49"/>
      <c r="Z19" s="49"/>
      <c r="AA19" s="49"/>
      <c r="AB19" s="49"/>
      <c r="AC19" s="49">
        <v>1</v>
      </c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>
        <v>1</v>
      </c>
      <c r="AO19" s="49"/>
      <c r="AP19" s="49"/>
      <c r="AQ19" s="49"/>
      <c r="AR19" s="49"/>
      <c r="AS19" s="49"/>
    </row>
    <row r="20" spans="1:45" ht="15.75" x14ac:dyDescent="0.25">
      <c r="A20" s="42">
        <v>4</v>
      </c>
      <c r="B20" s="42" t="s">
        <v>157</v>
      </c>
      <c r="C20" s="75">
        <v>2</v>
      </c>
      <c r="D20" s="76">
        <v>1</v>
      </c>
      <c r="E20" s="76">
        <v>1</v>
      </c>
      <c r="F20" s="76"/>
      <c r="G20" s="76">
        <v>5</v>
      </c>
      <c r="H20" s="76">
        <v>1</v>
      </c>
      <c r="I20" s="76">
        <v>1</v>
      </c>
      <c r="J20" s="76"/>
      <c r="K20" s="76">
        <v>1</v>
      </c>
      <c r="L20" s="76">
        <v>1</v>
      </c>
      <c r="M20" s="76">
        <v>1</v>
      </c>
      <c r="N20" s="76"/>
      <c r="O20" s="76">
        <v>1</v>
      </c>
      <c r="P20" s="76">
        <v>1</v>
      </c>
      <c r="Q20" s="76"/>
      <c r="R20" s="76"/>
      <c r="S20" s="76">
        <v>1</v>
      </c>
      <c r="T20" s="76"/>
      <c r="U20" s="76">
        <v>1</v>
      </c>
      <c r="V20" s="76">
        <v>1</v>
      </c>
      <c r="W20" s="76"/>
      <c r="X20" s="76"/>
      <c r="Y20" s="49"/>
      <c r="Z20" s="49"/>
      <c r="AA20" s="49"/>
      <c r="AB20" s="49"/>
      <c r="AC20" s="49">
        <v>1</v>
      </c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>
        <v>1</v>
      </c>
      <c r="AO20" s="49"/>
      <c r="AP20" s="49"/>
      <c r="AQ20" s="49">
        <v>20</v>
      </c>
      <c r="AR20" s="49"/>
      <c r="AS20" s="49">
        <v>1</v>
      </c>
    </row>
    <row r="21" spans="1:45" ht="15.75" x14ac:dyDescent="0.25">
      <c r="A21" s="87">
        <v>5</v>
      </c>
      <c r="B21" s="42" t="s">
        <v>158</v>
      </c>
      <c r="C21" s="75">
        <v>2</v>
      </c>
      <c r="D21" s="76">
        <v>1</v>
      </c>
      <c r="E21" s="76">
        <v>1</v>
      </c>
      <c r="F21" s="76"/>
      <c r="G21" s="76">
        <v>5</v>
      </c>
      <c r="H21" s="76">
        <v>1</v>
      </c>
      <c r="I21" s="76">
        <v>1</v>
      </c>
      <c r="J21" s="76"/>
      <c r="K21" s="76">
        <v>1</v>
      </c>
      <c r="L21" s="76">
        <v>1</v>
      </c>
      <c r="M21" s="76">
        <v>1</v>
      </c>
      <c r="N21" s="76"/>
      <c r="O21" s="76">
        <v>1</v>
      </c>
      <c r="P21" s="76">
        <v>1</v>
      </c>
      <c r="Q21" s="76"/>
      <c r="R21" s="76"/>
      <c r="S21" s="76">
        <v>1</v>
      </c>
      <c r="T21" s="76"/>
      <c r="U21" s="76">
        <v>1</v>
      </c>
      <c r="V21" s="76">
        <v>1</v>
      </c>
      <c r="W21" s="76"/>
      <c r="X21" s="76"/>
      <c r="Y21" s="49"/>
      <c r="Z21" s="49"/>
      <c r="AA21" s="49"/>
      <c r="AB21" s="49"/>
      <c r="AC21" s="49">
        <v>1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>
        <v>1</v>
      </c>
      <c r="AO21" s="49"/>
      <c r="AP21" s="49"/>
      <c r="AQ21" s="49">
        <v>20</v>
      </c>
      <c r="AR21" s="49"/>
      <c r="AS21" s="49">
        <v>1</v>
      </c>
    </row>
    <row r="22" spans="1:45" ht="15.75" x14ac:dyDescent="0.25">
      <c r="A22" s="42">
        <v>6</v>
      </c>
      <c r="B22" s="42" t="s">
        <v>159</v>
      </c>
      <c r="C22" s="75">
        <v>2</v>
      </c>
      <c r="D22" s="76">
        <v>1</v>
      </c>
      <c r="E22" s="76">
        <v>1</v>
      </c>
      <c r="F22" s="76"/>
      <c r="G22" s="76">
        <v>5</v>
      </c>
      <c r="H22" s="76">
        <v>1</v>
      </c>
      <c r="I22" s="76">
        <v>1</v>
      </c>
      <c r="J22" s="76"/>
      <c r="K22" s="76">
        <v>1</v>
      </c>
      <c r="L22" s="76">
        <v>1</v>
      </c>
      <c r="M22" s="76">
        <v>1</v>
      </c>
      <c r="N22" s="76"/>
      <c r="O22" s="76">
        <v>1</v>
      </c>
      <c r="P22" s="76">
        <v>1</v>
      </c>
      <c r="Q22" s="76"/>
      <c r="R22" s="76"/>
      <c r="S22" s="76">
        <v>1</v>
      </c>
      <c r="T22" s="76"/>
      <c r="U22" s="76">
        <v>1</v>
      </c>
      <c r="V22" s="76">
        <v>1</v>
      </c>
      <c r="W22" s="76"/>
      <c r="X22" s="76"/>
      <c r="Y22" s="49"/>
      <c r="Z22" s="49"/>
      <c r="AA22" s="49"/>
      <c r="AB22" s="49"/>
      <c r="AC22" s="49">
        <v>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>
        <v>1</v>
      </c>
      <c r="AO22" s="49"/>
      <c r="AP22" s="49"/>
      <c r="AQ22" s="49">
        <v>20</v>
      </c>
      <c r="AR22" s="49"/>
      <c r="AS22" s="49">
        <v>1</v>
      </c>
    </row>
    <row r="23" spans="1:45" ht="15.75" x14ac:dyDescent="0.25">
      <c r="A23" s="87">
        <v>7</v>
      </c>
      <c r="B23" s="42" t="s">
        <v>161</v>
      </c>
      <c r="C23" s="75">
        <v>2</v>
      </c>
      <c r="D23" s="76">
        <v>1</v>
      </c>
      <c r="E23" s="76">
        <v>1</v>
      </c>
      <c r="F23" s="76"/>
      <c r="G23" s="76">
        <v>5</v>
      </c>
      <c r="H23" s="76">
        <v>1</v>
      </c>
      <c r="I23" s="76">
        <v>1</v>
      </c>
      <c r="J23" s="76"/>
      <c r="K23" s="76">
        <v>1</v>
      </c>
      <c r="L23" s="76">
        <v>1</v>
      </c>
      <c r="M23" s="76">
        <v>1</v>
      </c>
      <c r="N23" s="76"/>
      <c r="O23" s="76">
        <v>1</v>
      </c>
      <c r="P23" s="76">
        <v>1</v>
      </c>
      <c r="Q23" s="76"/>
      <c r="R23" s="76"/>
      <c r="S23" s="76">
        <v>1</v>
      </c>
      <c r="T23" s="76"/>
      <c r="U23" s="76">
        <v>1</v>
      </c>
      <c r="V23" s="76">
        <v>1</v>
      </c>
      <c r="W23" s="76"/>
      <c r="X23" s="76"/>
      <c r="Y23" s="49"/>
      <c r="Z23" s="49"/>
      <c r="AA23" s="49"/>
      <c r="AB23" s="49"/>
      <c r="AC23" s="49">
        <v>1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>
        <v>1</v>
      </c>
      <c r="AO23" s="49"/>
      <c r="AP23" s="49"/>
      <c r="AQ23" s="49">
        <v>20</v>
      </c>
      <c r="AR23" s="49"/>
      <c r="AS23" s="49">
        <v>1</v>
      </c>
    </row>
    <row r="24" spans="1:45" ht="15.75" x14ac:dyDescent="0.25">
      <c r="A24" s="42">
        <v>8</v>
      </c>
      <c r="B24" s="42" t="s">
        <v>162</v>
      </c>
      <c r="C24" s="75">
        <v>2</v>
      </c>
      <c r="D24" s="76">
        <v>1</v>
      </c>
      <c r="E24" s="76">
        <v>1</v>
      </c>
      <c r="F24" s="76"/>
      <c r="G24" s="76">
        <v>5</v>
      </c>
      <c r="H24" s="76">
        <v>1</v>
      </c>
      <c r="I24" s="76">
        <v>1</v>
      </c>
      <c r="J24" s="76"/>
      <c r="K24" s="76">
        <v>1</v>
      </c>
      <c r="L24" s="76">
        <v>1</v>
      </c>
      <c r="M24" s="76">
        <v>1</v>
      </c>
      <c r="N24" s="76"/>
      <c r="O24" s="76">
        <v>1</v>
      </c>
      <c r="P24" s="76">
        <v>1</v>
      </c>
      <c r="Q24" s="76"/>
      <c r="R24" s="76"/>
      <c r="S24" s="76">
        <v>1</v>
      </c>
      <c r="T24" s="76"/>
      <c r="U24" s="76">
        <v>1</v>
      </c>
      <c r="V24" s="76">
        <v>1</v>
      </c>
      <c r="W24" s="76"/>
      <c r="X24" s="76"/>
      <c r="Y24" s="49"/>
      <c r="Z24" s="49"/>
      <c r="AA24" s="49"/>
      <c r="AB24" s="49"/>
      <c r="AC24" s="49">
        <v>1</v>
      </c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>
        <v>1</v>
      </c>
      <c r="AO24" s="49"/>
      <c r="AP24" s="49"/>
      <c r="AQ24" s="49">
        <v>20</v>
      </c>
      <c r="AR24" s="49"/>
      <c r="AS24" s="49">
        <v>1</v>
      </c>
    </row>
    <row r="25" spans="1:45" ht="15.75" x14ac:dyDescent="0.25">
      <c r="A25" s="87">
        <v>9</v>
      </c>
      <c r="B25" s="42" t="s">
        <v>163</v>
      </c>
      <c r="C25" s="75">
        <v>2</v>
      </c>
      <c r="D25" s="76">
        <v>1</v>
      </c>
      <c r="E25" s="76">
        <v>1</v>
      </c>
      <c r="F25" s="76"/>
      <c r="G25" s="76">
        <v>5</v>
      </c>
      <c r="H25" s="76">
        <v>1</v>
      </c>
      <c r="I25" s="76">
        <v>1</v>
      </c>
      <c r="J25" s="76"/>
      <c r="K25" s="76">
        <v>1</v>
      </c>
      <c r="L25" s="76">
        <v>1</v>
      </c>
      <c r="M25" s="76">
        <v>1</v>
      </c>
      <c r="N25" s="76"/>
      <c r="O25" s="76">
        <v>1</v>
      </c>
      <c r="P25" s="76">
        <v>1</v>
      </c>
      <c r="Q25" s="76"/>
      <c r="R25" s="76"/>
      <c r="S25" s="76">
        <v>1</v>
      </c>
      <c r="T25" s="76"/>
      <c r="U25" s="76">
        <v>1</v>
      </c>
      <c r="V25" s="76">
        <v>1</v>
      </c>
      <c r="W25" s="76"/>
      <c r="X25" s="76"/>
      <c r="Y25" s="49"/>
      <c r="Z25" s="49"/>
      <c r="AA25" s="49"/>
      <c r="AB25" s="49"/>
      <c r="AC25" s="49">
        <v>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>
        <v>1</v>
      </c>
      <c r="AO25" s="49"/>
      <c r="AP25" s="49"/>
      <c r="AQ25" s="49">
        <v>30</v>
      </c>
      <c r="AR25" s="49"/>
      <c r="AS25" s="49">
        <v>1</v>
      </c>
    </row>
    <row r="26" spans="1:45" ht="15.75" x14ac:dyDescent="0.25">
      <c r="A26" s="42">
        <v>10</v>
      </c>
      <c r="B26" s="42" t="s">
        <v>164</v>
      </c>
      <c r="C26" s="75">
        <v>2</v>
      </c>
      <c r="D26" s="76">
        <v>1</v>
      </c>
      <c r="E26" s="76">
        <v>1</v>
      </c>
      <c r="F26" s="76"/>
      <c r="G26" s="76">
        <v>5</v>
      </c>
      <c r="H26" s="76">
        <v>1</v>
      </c>
      <c r="I26" s="76">
        <v>1</v>
      </c>
      <c r="J26" s="76"/>
      <c r="K26" s="76">
        <v>1</v>
      </c>
      <c r="L26" s="76">
        <v>1</v>
      </c>
      <c r="M26" s="76">
        <v>1</v>
      </c>
      <c r="N26" s="76"/>
      <c r="O26" s="76">
        <v>1</v>
      </c>
      <c r="P26" s="76">
        <v>1</v>
      </c>
      <c r="Q26" s="76"/>
      <c r="R26" s="76"/>
      <c r="S26" s="76">
        <v>1</v>
      </c>
      <c r="T26" s="76"/>
      <c r="U26" s="76">
        <v>1</v>
      </c>
      <c r="V26" s="76">
        <v>1</v>
      </c>
      <c r="W26" s="76"/>
      <c r="X26" s="76"/>
      <c r="Y26" s="49"/>
      <c r="Z26" s="49"/>
      <c r="AA26" s="49"/>
      <c r="AB26" s="49"/>
      <c r="AC26" s="49">
        <v>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>
        <v>1</v>
      </c>
      <c r="AO26" s="49"/>
      <c r="AP26" s="49"/>
      <c r="AQ26" s="49">
        <v>20</v>
      </c>
      <c r="AR26" s="49"/>
      <c r="AS26" s="49">
        <v>1</v>
      </c>
    </row>
    <row r="27" spans="1:45" ht="15.75" x14ac:dyDescent="0.25">
      <c r="A27" s="87">
        <v>11</v>
      </c>
      <c r="B27" s="42" t="s">
        <v>165</v>
      </c>
      <c r="C27" s="75">
        <v>2</v>
      </c>
      <c r="D27" s="76">
        <v>1</v>
      </c>
      <c r="E27" s="76">
        <v>1</v>
      </c>
      <c r="F27" s="76"/>
      <c r="G27" s="76">
        <v>5</v>
      </c>
      <c r="H27" s="76">
        <v>1</v>
      </c>
      <c r="I27" s="76">
        <v>1</v>
      </c>
      <c r="J27" s="76"/>
      <c r="K27" s="76">
        <v>1</v>
      </c>
      <c r="L27" s="76">
        <v>1</v>
      </c>
      <c r="M27" s="76">
        <v>1</v>
      </c>
      <c r="N27" s="76"/>
      <c r="O27" s="76">
        <v>1</v>
      </c>
      <c r="P27" s="76">
        <v>1</v>
      </c>
      <c r="Q27" s="76"/>
      <c r="R27" s="76"/>
      <c r="S27" s="76">
        <v>1</v>
      </c>
      <c r="T27" s="76"/>
      <c r="U27" s="76">
        <v>1</v>
      </c>
      <c r="V27" s="76">
        <v>1</v>
      </c>
      <c r="W27" s="76"/>
      <c r="X27" s="76"/>
      <c r="Y27" s="49"/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>
        <v>1</v>
      </c>
      <c r="AO27" s="49"/>
      <c r="AP27" s="49"/>
      <c r="AQ27" s="49">
        <v>20</v>
      </c>
      <c r="AR27" s="49"/>
      <c r="AS27" s="49">
        <v>1</v>
      </c>
    </row>
    <row r="28" spans="1:45" ht="15.75" x14ac:dyDescent="0.25">
      <c r="A28" s="42">
        <v>12</v>
      </c>
      <c r="B28" s="42" t="s">
        <v>167</v>
      </c>
      <c r="C28" s="75">
        <v>2</v>
      </c>
      <c r="D28" s="76">
        <v>1</v>
      </c>
      <c r="E28" s="76">
        <v>1</v>
      </c>
      <c r="F28" s="76"/>
      <c r="G28" s="76">
        <v>5</v>
      </c>
      <c r="H28" s="76">
        <v>1</v>
      </c>
      <c r="I28" s="76">
        <v>1</v>
      </c>
      <c r="J28" s="76"/>
      <c r="K28" s="76">
        <v>1</v>
      </c>
      <c r="L28" s="76">
        <v>1</v>
      </c>
      <c r="M28" s="76">
        <v>1</v>
      </c>
      <c r="N28" s="76"/>
      <c r="O28" s="76">
        <v>1</v>
      </c>
      <c r="P28" s="76">
        <v>1</v>
      </c>
      <c r="Q28" s="76"/>
      <c r="R28" s="76"/>
      <c r="S28" s="76">
        <v>1</v>
      </c>
      <c r="T28" s="76"/>
      <c r="U28" s="76">
        <v>1</v>
      </c>
      <c r="V28" s="76">
        <v>1</v>
      </c>
      <c r="W28" s="76"/>
      <c r="X28" s="76"/>
      <c r="Y28" s="49"/>
      <c r="Z28" s="49"/>
      <c r="AA28" s="49"/>
      <c r="AB28" s="49"/>
      <c r="AC28" s="49">
        <v>1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>
        <v>1</v>
      </c>
      <c r="AO28" s="49"/>
      <c r="AP28" s="49"/>
      <c r="AQ28" s="49">
        <v>30</v>
      </c>
      <c r="AR28" s="49"/>
      <c r="AS28" s="49">
        <v>1</v>
      </c>
    </row>
    <row r="29" spans="1:45" ht="15.75" x14ac:dyDescent="0.25">
      <c r="A29" s="87">
        <v>13</v>
      </c>
      <c r="B29" s="42" t="s">
        <v>168</v>
      </c>
      <c r="C29" s="75">
        <v>2</v>
      </c>
      <c r="D29" s="76">
        <v>1</v>
      </c>
      <c r="E29" s="76">
        <v>1</v>
      </c>
      <c r="F29" s="76"/>
      <c r="G29" s="76">
        <v>5</v>
      </c>
      <c r="H29" s="76">
        <v>1</v>
      </c>
      <c r="I29" s="76">
        <v>1</v>
      </c>
      <c r="J29" s="76"/>
      <c r="K29" s="76">
        <v>1</v>
      </c>
      <c r="L29" s="76">
        <v>1</v>
      </c>
      <c r="M29" s="76">
        <v>1</v>
      </c>
      <c r="N29" s="76"/>
      <c r="O29" s="76">
        <v>1</v>
      </c>
      <c r="P29" s="76">
        <v>1</v>
      </c>
      <c r="Q29" s="76"/>
      <c r="R29" s="76"/>
      <c r="S29" s="76">
        <v>1</v>
      </c>
      <c r="T29" s="76"/>
      <c r="U29" s="76">
        <v>1</v>
      </c>
      <c r="V29" s="76">
        <v>1</v>
      </c>
      <c r="W29" s="76"/>
      <c r="X29" s="76"/>
      <c r="Y29" s="49"/>
      <c r="Z29" s="49"/>
      <c r="AA29" s="49"/>
      <c r="AB29" s="49"/>
      <c r="AC29" s="49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>
        <v>1</v>
      </c>
      <c r="AO29" s="49"/>
      <c r="AP29" s="49"/>
      <c r="AQ29" s="49">
        <v>30</v>
      </c>
      <c r="AR29" s="49"/>
      <c r="AS29" s="49">
        <v>1</v>
      </c>
    </row>
    <row r="30" spans="1:45" ht="15.75" x14ac:dyDescent="0.25">
      <c r="A30" s="42">
        <v>14</v>
      </c>
      <c r="B30" s="42" t="s">
        <v>170</v>
      </c>
      <c r="C30" s="75">
        <v>2</v>
      </c>
      <c r="D30" s="76">
        <v>1</v>
      </c>
      <c r="E30" s="76">
        <v>1</v>
      </c>
      <c r="F30" s="76"/>
      <c r="G30" s="76">
        <v>5</v>
      </c>
      <c r="H30" s="76">
        <v>1</v>
      </c>
      <c r="I30" s="76">
        <v>1</v>
      </c>
      <c r="J30" s="76"/>
      <c r="K30" s="76">
        <v>1</v>
      </c>
      <c r="L30" s="76">
        <v>1</v>
      </c>
      <c r="M30" s="76">
        <v>1</v>
      </c>
      <c r="N30" s="76"/>
      <c r="O30" s="76">
        <v>1</v>
      </c>
      <c r="P30" s="76">
        <v>1</v>
      </c>
      <c r="Q30" s="76"/>
      <c r="R30" s="76"/>
      <c r="S30" s="76">
        <v>1</v>
      </c>
      <c r="T30" s="76"/>
      <c r="U30" s="76">
        <v>1</v>
      </c>
      <c r="V30" s="76">
        <v>1</v>
      </c>
      <c r="W30" s="76"/>
      <c r="X30" s="76"/>
      <c r="Y30" s="49"/>
      <c r="Z30" s="49"/>
      <c r="AA30" s="49"/>
      <c r="AB30" s="49"/>
      <c r="AC30" s="49">
        <v>1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>
        <v>1</v>
      </c>
      <c r="AO30" s="49"/>
      <c r="AP30" s="49"/>
      <c r="AQ30" s="49">
        <v>20</v>
      </c>
      <c r="AR30" s="49"/>
      <c r="AS30" s="49">
        <v>1</v>
      </c>
    </row>
    <row r="31" spans="1:45" ht="15.75" x14ac:dyDescent="0.25">
      <c r="A31" s="87">
        <v>15</v>
      </c>
      <c r="B31" s="42" t="s">
        <v>166</v>
      </c>
      <c r="C31" s="75">
        <v>2</v>
      </c>
      <c r="D31" s="76">
        <v>1</v>
      </c>
      <c r="E31" s="76">
        <v>1</v>
      </c>
      <c r="F31" s="76"/>
      <c r="G31" s="76">
        <v>5</v>
      </c>
      <c r="H31" s="76">
        <v>1</v>
      </c>
      <c r="I31" s="76">
        <v>1</v>
      </c>
      <c r="J31" s="76"/>
      <c r="K31" s="76">
        <v>1</v>
      </c>
      <c r="L31" s="76">
        <v>1</v>
      </c>
      <c r="M31" s="76">
        <v>1</v>
      </c>
      <c r="N31" s="76"/>
      <c r="O31" s="76">
        <v>1</v>
      </c>
      <c r="P31" s="76">
        <v>1</v>
      </c>
      <c r="Q31" s="76"/>
      <c r="R31" s="76"/>
      <c r="S31" s="76">
        <v>1</v>
      </c>
      <c r="T31" s="76"/>
      <c r="U31" s="76">
        <v>1</v>
      </c>
      <c r="V31" s="76">
        <v>1</v>
      </c>
      <c r="W31" s="76"/>
      <c r="X31" s="76"/>
      <c r="Y31" s="49"/>
      <c r="Z31" s="49"/>
      <c r="AA31" s="49"/>
      <c r="AB31" s="49"/>
      <c r="AC31" s="49">
        <v>1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>
        <v>1</v>
      </c>
      <c r="AO31" s="49"/>
      <c r="AP31" s="49"/>
      <c r="AQ31" s="49">
        <v>20</v>
      </c>
      <c r="AR31" s="49"/>
      <c r="AS31" s="49">
        <v>1</v>
      </c>
    </row>
    <row r="32" spans="1:45" ht="15.75" x14ac:dyDescent="0.25">
      <c r="A32" s="42">
        <v>16</v>
      </c>
      <c r="B32" s="42" t="s">
        <v>171</v>
      </c>
      <c r="C32" s="75">
        <v>2</v>
      </c>
      <c r="D32" s="76">
        <v>1</v>
      </c>
      <c r="E32" s="76">
        <v>1</v>
      </c>
      <c r="F32" s="76"/>
      <c r="G32" s="76">
        <v>5</v>
      </c>
      <c r="H32" s="76">
        <v>1</v>
      </c>
      <c r="I32" s="76">
        <v>1</v>
      </c>
      <c r="J32" s="76"/>
      <c r="K32" s="76">
        <v>1</v>
      </c>
      <c r="L32" s="76">
        <v>1</v>
      </c>
      <c r="M32" s="76">
        <v>1</v>
      </c>
      <c r="N32" s="76"/>
      <c r="O32" s="76">
        <v>1</v>
      </c>
      <c r="P32" s="76">
        <v>1</v>
      </c>
      <c r="Q32" s="76"/>
      <c r="R32" s="76"/>
      <c r="S32" s="76">
        <v>1</v>
      </c>
      <c r="T32" s="76"/>
      <c r="U32" s="76">
        <v>1</v>
      </c>
      <c r="V32" s="76">
        <v>1</v>
      </c>
      <c r="W32" s="76"/>
      <c r="X32" s="76"/>
      <c r="Y32" s="49"/>
      <c r="Z32" s="49"/>
      <c r="AA32" s="49"/>
      <c r="AB32" s="49"/>
      <c r="AC32" s="49">
        <v>1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>
        <v>1</v>
      </c>
      <c r="AO32" s="49"/>
      <c r="AP32" s="49"/>
      <c r="AQ32" s="49">
        <v>20</v>
      </c>
      <c r="AR32" s="49"/>
      <c r="AS32" s="49">
        <v>1</v>
      </c>
    </row>
    <row r="33" spans="1:45" ht="15.75" x14ac:dyDescent="0.25">
      <c r="A33" s="87">
        <v>17</v>
      </c>
      <c r="B33" s="42" t="s">
        <v>172</v>
      </c>
      <c r="C33" s="75">
        <v>2</v>
      </c>
      <c r="D33" s="76">
        <v>1</v>
      </c>
      <c r="E33" s="76">
        <v>1</v>
      </c>
      <c r="F33" s="76"/>
      <c r="G33" s="76">
        <v>5</v>
      </c>
      <c r="H33" s="76">
        <v>1</v>
      </c>
      <c r="I33" s="76">
        <v>1</v>
      </c>
      <c r="J33" s="76"/>
      <c r="K33" s="76">
        <v>1</v>
      </c>
      <c r="L33" s="76">
        <v>1</v>
      </c>
      <c r="M33" s="76">
        <v>1</v>
      </c>
      <c r="N33" s="76"/>
      <c r="O33" s="76">
        <v>1</v>
      </c>
      <c r="P33" s="76">
        <v>1</v>
      </c>
      <c r="Q33" s="76"/>
      <c r="R33" s="76"/>
      <c r="S33" s="76">
        <v>1</v>
      </c>
      <c r="T33" s="76"/>
      <c r="U33" s="76">
        <v>1</v>
      </c>
      <c r="V33" s="76">
        <v>1</v>
      </c>
      <c r="W33" s="76"/>
      <c r="X33" s="76"/>
      <c r="Y33" s="49"/>
      <c r="Z33" s="49"/>
      <c r="AA33" s="49"/>
      <c r="AB33" s="49"/>
      <c r="AC33" s="49">
        <v>1</v>
      </c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>
        <v>1</v>
      </c>
      <c r="AO33" s="49"/>
      <c r="AP33" s="49"/>
      <c r="AQ33" s="49">
        <v>20</v>
      </c>
      <c r="AR33" s="49"/>
      <c r="AS33" s="49">
        <v>1</v>
      </c>
    </row>
    <row r="34" spans="1:45" ht="15.75" x14ac:dyDescent="0.25">
      <c r="A34" s="42">
        <v>18</v>
      </c>
      <c r="B34" s="42" t="s">
        <v>173</v>
      </c>
      <c r="C34" s="75">
        <v>2</v>
      </c>
      <c r="D34" s="76">
        <v>1</v>
      </c>
      <c r="E34" s="76">
        <v>1</v>
      </c>
      <c r="F34" s="76"/>
      <c r="G34" s="76">
        <v>5</v>
      </c>
      <c r="H34" s="76">
        <v>1</v>
      </c>
      <c r="I34" s="76">
        <v>1</v>
      </c>
      <c r="J34" s="76"/>
      <c r="K34" s="76">
        <v>1</v>
      </c>
      <c r="L34" s="76">
        <v>1</v>
      </c>
      <c r="M34" s="76">
        <v>1</v>
      </c>
      <c r="N34" s="76"/>
      <c r="O34" s="76">
        <v>1</v>
      </c>
      <c r="P34" s="76">
        <v>1</v>
      </c>
      <c r="Q34" s="76"/>
      <c r="R34" s="76"/>
      <c r="S34" s="76">
        <v>1</v>
      </c>
      <c r="T34" s="76"/>
      <c r="U34" s="76">
        <v>1</v>
      </c>
      <c r="V34" s="76">
        <v>1</v>
      </c>
      <c r="W34" s="76"/>
      <c r="X34" s="76"/>
      <c r="Y34" s="49"/>
      <c r="Z34" s="49"/>
      <c r="AA34" s="49"/>
      <c r="AB34" s="49"/>
      <c r="AC34" s="49">
        <v>1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>
        <v>1</v>
      </c>
      <c r="AO34" s="49"/>
      <c r="AP34" s="49"/>
      <c r="AQ34" s="49">
        <v>30</v>
      </c>
      <c r="AR34" s="49"/>
      <c r="AS34" s="49">
        <v>1</v>
      </c>
    </row>
    <row r="35" spans="1:45" ht="15.75" x14ac:dyDescent="0.25">
      <c r="A35" s="87">
        <v>19</v>
      </c>
      <c r="B35" s="42" t="s">
        <v>174</v>
      </c>
      <c r="C35" s="75">
        <v>2</v>
      </c>
      <c r="D35" s="76">
        <v>1</v>
      </c>
      <c r="E35" s="76">
        <v>1</v>
      </c>
      <c r="F35" s="76"/>
      <c r="G35" s="76">
        <v>5</v>
      </c>
      <c r="H35" s="76">
        <v>1</v>
      </c>
      <c r="I35" s="76">
        <v>1</v>
      </c>
      <c r="J35" s="76"/>
      <c r="K35" s="76">
        <v>1</v>
      </c>
      <c r="L35" s="76">
        <v>1</v>
      </c>
      <c r="M35" s="76">
        <v>1</v>
      </c>
      <c r="N35" s="76"/>
      <c r="O35" s="76">
        <v>1</v>
      </c>
      <c r="P35" s="76">
        <v>1</v>
      </c>
      <c r="Q35" s="76"/>
      <c r="R35" s="76"/>
      <c r="S35" s="76">
        <v>1</v>
      </c>
      <c r="T35" s="76"/>
      <c r="U35" s="76">
        <v>1</v>
      </c>
      <c r="V35" s="76">
        <v>1</v>
      </c>
      <c r="W35" s="76"/>
      <c r="X35" s="76"/>
      <c r="Y35" s="49"/>
      <c r="Z35" s="49"/>
      <c r="AA35" s="49"/>
      <c r="AB35" s="49"/>
      <c r="AC35" s="49">
        <v>1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>
        <v>1</v>
      </c>
      <c r="AO35" s="49"/>
      <c r="AP35" s="49"/>
      <c r="AQ35" s="49">
        <v>30</v>
      </c>
      <c r="AR35" s="49"/>
      <c r="AS35" s="49">
        <v>1</v>
      </c>
    </row>
    <row r="36" spans="1:45" ht="15.75" x14ac:dyDescent="0.25">
      <c r="A36" s="42">
        <v>20</v>
      </c>
      <c r="B36" s="42" t="s">
        <v>176</v>
      </c>
      <c r="C36" s="75">
        <v>2</v>
      </c>
      <c r="D36" s="76">
        <v>1</v>
      </c>
      <c r="E36" s="76">
        <v>1</v>
      </c>
      <c r="F36" s="76"/>
      <c r="G36" s="76">
        <v>5</v>
      </c>
      <c r="H36" s="76">
        <v>1</v>
      </c>
      <c r="I36" s="76">
        <v>1</v>
      </c>
      <c r="J36" s="76"/>
      <c r="K36" s="76">
        <v>1</v>
      </c>
      <c r="L36" s="76">
        <v>1</v>
      </c>
      <c r="M36" s="76">
        <v>1</v>
      </c>
      <c r="N36" s="76"/>
      <c r="O36" s="76">
        <v>1</v>
      </c>
      <c r="P36" s="76">
        <v>1</v>
      </c>
      <c r="Q36" s="76"/>
      <c r="R36" s="76"/>
      <c r="S36" s="76">
        <v>1</v>
      </c>
      <c r="T36" s="76"/>
      <c r="U36" s="76">
        <v>1</v>
      </c>
      <c r="V36" s="76">
        <v>1</v>
      </c>
      <c r="W36" s="76"/>
      <c r="X36" s="76"/>
      <c r="Y36" s="49"/>
      <c r="Z36" s="49"/>
      <c r="AA36" s="49"/>
      <c r="AB36" s="49"/>
      <c r="AC36" s="49">
        <v>1</v>
      </c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>
        <v>1</v>
      </c>
      <c r="AO36" s="49"/>
      <c r="AP36" s="49"/>
      <c r="AQ36" s="49">
        <v>30</v>
      </c>
      <c r="AR36" s="49"/>
      <c r="AS36" s="49">
        <v>1</v>
      </c>
    </row>
    <row r="37" spans="1:45" ht="15.75" x14ac:dyDescent="0.25">
      <c r="A37" s="87">
        <v>21</v>
      </c>
      <c r="B37" s="42" t="s">
        <v>177</v>
      </c>
      <c r="C37" s="75">
        <v>2</v>
      </c>
      <c r="D37" s="76">
        <v>1</v>
      </c>
      <c r="E37" s="76">
        <v>1</v>
      </c>
      <c r="F37" s="76"/>
      <c r="G37" s="76">
        <v>5</v>
      </c>
      <c r="H37" s="76">
        <v>1</v>
      </c>
      <c r="I37" s="76">
        <v>1</v>
      </c>
      <c r="J37" s="76"/>
      <c r="K37" s="76">
        <v>1</v>
      </c>
      <c r="L37" s="76">
        <v>1</v>
      </c>
      <c r="M37" s="76">
        <v>1</v>
      </c>
      <c r="N37" s="76"/>
      <c r="O37" s="76">
        <v>1</v>
      </c>
      <c r="P37" s="76">
        <v>1</v>
      </c>
      <c r="Q37" s="76"/>
      <c r="R37" s="76"/>
      <c r="S37" s="76">
        <v>1</v>
      </c>
      <c r="T37" s="76"/>
      <c r="U37" s="76">
        <v>1</v>
      </c>
      <c r="V37" s="76">
        <v>1</v>
      </c>
      <c r="W37" s="76"/>
      <c r="X37" s="76"/>
      <c r="Y37" s="49"/>
      <c r="Z37" s="49"/>
      <c r="AA37" s="49"/>
      <c r="AB37" s="49"/>
      <c r="AC37" s="49">
        <v>1</v>
      </c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>
        <v>1</v>
      </c>
      <c r="AO37" s="49"/>
      <c r="AP37" s="49"/>
      <c r="AQ37" s="49">
        <v>30</v>
      </c>
      <c r="AR37" s="49"/>
      <c r="AS37" s="49">
        <v>1</v>
      </c>
    </row>
    <row r="38" spans="1:45" ht="15.75" x14ac:dyDescent="0.25">
      <c r="A38" s="42">
        <v>22</v>
      </c>
      <c r="B38" s="42" t="s">
        <v>178</v>
      </c>
      <c r="C38" s="75">
        <v>2</v>
      </c>
      <c r="D38" s="76">
        <v>1</v>
      </c>
      <c r="E38" s="76">
        <v>1</v>
      </c>
      <c r="F38" s="76"/>
      <c r="G38" s="76">
        <v>5</v>
      </c>
      <c r="H38" s="76">
        <v>1</v>
      </c>
      <c r="I38" s="76">
        <v>1</v>
      </c>
      <c r="J38" s="76"/>
      <c r="K38" s="76">
        <v>1</v>
      </c>
      <c r="L38" s="76">
        <v>1</v>
      </c>
      <c r="M38" s="76">
        <v>1</v>
      </c>
      <c r="N38" s="76"/>
      <c r="O38" s="76">
        <v>1</v>
      </c>
      <c r="P38" s="76">
        <v>1</v>
      </c>
      <c r="Q38" s="76"/>
      <c r="R38" s="76"/>
      <c r="S38" s="76">
        <v>1</v>
      </c>
      <c r="T38" s="76"/>
      <c r="U38" s="76">
        <v>1</v>
      </c>
      <c r="V38" s="76">
        <v>1</v>
      </c>
      <c r="W38" s="76"/>
      <c r="X38" s="76"/>
      <c r="Y38" s="49"/>
      <c r="Z38" s="49"/>
      <c r="AA38" s="49"/>
      <c r="AB38" s="49"/>
      <c r="AC38" s="49">
        <v>1</v>
      </c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>
        <v>1</v>
      </c>
      <c r="AO38" s="49"/>
      <c r="AP38" s="49"/>
      <c r="AQ38" s="49">
        <v>30</v>
      </c>
      <c r="AR38" s="49"/>
      <c r="AS38" s="49">
        <v>1</v>
      </c>
    </row>
    <row r="39" spans="1:45" ht="15.75" x14ac:dyDescent="0.25">
      <c r="A39" s="87">
        <v>23</v>
      </c>
      <c r="B39" s="42" t="s">
        <v>179</v>
      </c>
      <c r="C39" s="75">
        <v>2</v>
      </c>
      <c r="D39" s="76">
        <v>1</v>
      </c>
      <c r="E39" s="76">
        <v>1</v>
      </c>
      <c r="F39" s="76"/>
      <c r="G39" s="76">
        <v>5</v>
      </c>
      <c r="H39" s="76">
        <v>1</v>
      </c>
      <c r="I39" s="76">
        <v>1</v>
      </c>
      <c r="J39" s="76"/>
      <c r="K39" s="76">
        <v>1</v>
      </c>
      <c r="L39" s="76">
        <v>1</v>
      </c>
      <c r="M39" s="76">
        <v>1</v>
      </c>
      <c r="N39" s="76"/>
      <c r="O39" s="76">
        <v>1</v>
      </c>
      <c r="P39" s="76">
        <v>1</v>
      </c>
      <c r="Q39" s="76"/>
      <c r="R39" s="76"/>
      <c r="S39" s="76">
        <v>1</v>
      </c>
      <c r="T39" s="76"/>
      <c r="U39" s="76">
        <v>1</v>
      </c>
      <c r="V39" s="76">
        <v>1</v>
      </c>
      <c r="W39" s="76"/>
      <c r="X39" s="76"/>
      <c r="Y39" s="49"/>
      <c r="Z39" s="49"/>
      <c r="AA39" s="49"/>
      <c r="AB39" s="49"/>
      <c r="AC39" s="49">
        <v>1</v>
      </c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>
        <v>1</v>
      </c>
      <c r="AO39" s="49"/>
      <c r="AP39" s="49"/>
      <c r="AQ39" s="49">
        <v>20</v>
      </c>
      <c r="AR39" s="49"/>
      <c r="AS39" s="49">
        <v>1</v>
      </c>
    </row>
    <row r="40" spans="1:45" ht="15.75" x14ac:dyDescent="0.25">
      <c r="A40" s="42">
        <v>24</v>
      </c>
      <c r="B40" s="42" t="s">
        <v>180</v>
      </c>
      <c r="C40" s="75">
        <v>2</v>
      </c>
      <c r="D40" s="76">
        <v>1</v>
      </c>
      <c r="E40" s="76">
        <v>1</v>
      </c>
      <c r="F40" s="76"/>
      <c r="G40" s="76">
        <v>5</v>
      </c>
      <c r="H40" s="76">
        <v>1</v>
      </c>
      <c r="I40" s="76">
        <v>1</v>
      </c>
      <c r="J40" s="76"/>
      <c r="K40" s="76">
        <v>1</v>
      </c>
      <c r="L40" s="76">
        <v>1</v>
      </c>
      <c r="M40" s="76">
        <v>1</v>
      </c>
      <c r="N40" s="76"/>
      <c r="O40" s="76">
        <v>1</v>
      </c>
      <c r="P40" s="76">
        <v>1</v>
      </c>
      <c r="Q40" s="76"/>
      <c r="R40" s="76"/>
      <c r="S40" s="76">
        <v>1</v>
      </c>
      <c r="T40" s="76"/>
      <c r="U40" s="76">
        <v>1</v>
      </c>
      <c r="V40" s="76">
        <v>1</v>
      </c>
      <c r="W40" s="76"/>
      <c r="X40" s="76"/>
      <c r="Y40" s="49"/>
      <c r="Z40" s="49"/>
      <c r="AA40" s="49"/>
      <c r="AB40" s="49"/>
      <c r="AC40" s="49">
        <v>1</v>
      </c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>
        <v>1</v>
      </c>
      <c r="AO40" s="49"/>
      <c r="AP40" s="49"/>
      <c r="AQ40" s="49">
        <v>20</v>
      </c>
      <c r="AR40" s="49"/>
      <c r="AS40" s="49">
        <v>1</v>
      </c>
    </row>
    <row r="41" spans="1:45" ht="15.75" x14ac:dyDescent="0.25">
      <c r="A41" s="87">
        <v>25</v>
      </c>
      <c r="B41" s="42" t="s">
        <v>181</v>
      </c>
      <c r="C41" s="75">
        <v>2</v>
      </c>
      <c r="D41" s="76">
        <v>1</v>
      </c>
      <c r="E41" s="76">
        <v>1</v>
      </c>
      <c r="F41" s="76"/>
      <c r="G41" s="76">
        <v>5</v>
      </c>
      <c r="H41" s="76">
        <v>1</v>
      </c>
      <c r="I41" s="76">
        <v>1</v>
      </c>
      <c r="J41" s="76"/>
      <c r="K41" s="76">
        <v>1</v>
      </c>
      <c r="L41" s="76">
        <v>1</v>
      </c>
      <c r="M41" s="76">
        <v>1</v>
      </c>
      <c r="N41" s="76"/>
      <c r="O41" s="76">
        <v>1</v>
      </c>
      <c r="P41" s="76">
        <v>1</v>
      </c>
      <c r="Q41" s="76"/>
      <c r="R41" s="76"/>
      <c r="S41" s="76">
        <v>1</v>
      </c>
      <c r="T41" s="76"/>
      <c r="U41" s="76">
        <v>1</v>
      </c>
      <c r="V41" s="76">
        <v>1</v>
      </c>
      <c r="W41" s="76"/>
      <c r="X41" s="76"/>
      <c r="Y41" s="49"/>
      <c r="Z41" s="49"/>
      <c r="AA41" s="49"/>
      <c r="AB41" s="49"/>
      <c r="AC41" s="49">
        <v>1</v>
      </c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>
        <v>1</v>
      </c>
      <c r="AO41" s="49"/>
      <c r="AP41" s="49"/>
      <c r="AQ41" s="49">
        <v>30</v>
      </c>
      <c r="AR41" s="49"/>
      <c r="AS41" s="49">
        <v>1</v>
      </c>
    </row>
    <row r="42" spans="1:45" ht="15.75" x14ac:dyDescent="0.25">
      <c r="A42" s="42">
        <v>26</v>
      </c>
      <c r="B42" s="42" t="s">
        <v>182</v>
      </c>
      <c r="C42" s="75">
        <v>2</v>
      </c>
      <c r="D42" s="76">
        <v>1</v>
      </c>
      <c r="E42" s="76">
        <v>1</v>
      </c>
      <c r="F42" s="76"/>
      <c r="G42" s="76">
        <v>5</v>
      </c>
      <c r="H42" s="76">
        <v>1</v>
      </c>
      <c r="I42" s="76">
        <v>1</v>
      </c>
      <c r="J42" s="76"/>
      <c r="K42" s="76">
        <v>1</v>
      </c>
      <c r="L42" s="76">
        <v>1</v>
      </c>
      <c r="M42" s="76">
        <v>1</v>
      </c>
      <c r="N42" s="76"/>
      <c r="O42" s="76">
        <v>1</v>
      </c>
      <c r="P42" s="76">
        <v>1</v>
      </c>
      <c r="Q42" s="76"/>
      <c r="R42" s="76"/>
      <c r="S42" s="76">
        <v>1</v>
      </c>
      <c r="T42" s="76"/>
      <c r="U42" s="76">
        <v>1</v>
      </c>
      <c r="V42" s="76">
        <v>1</v>
      </c>
      <c r="W42" s="76"/>
      <c r="X42" s="76"/>
      <c r="Y42" s="49"/>
      <c r="Z42" s="49"/>
      <c r="AA42" s="49"/>
      <c r="AB42" s="49"/>
      <c r="AC42" s="49">
        <v>1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>
        <v>1</v>
      </c>
      <c r="AO42" s="49"/>
      <c r="AP42" s="49"/>
      <c r="AQ42" s="49"/>
      <c r="AR42" s="49"/>
      <c r="AS42" s="49"/>
    </row>
    <row r="43" spans="1:45" ht="15.75" x14ac:dyDescent="0.25">
      <c r="A43" s="87">
        <v>27</v>
      </c>
      <c r="B43" s="42" t="s">
        <v>184</v>
      </c>
      <c r="C43" s="75">
        <v>2</v>
      </c>
      <c r="D43" s="76">
        <v>1</v>
      </c>
      <c r="E43" s="76">
        <v>1</v>
      </c>
      <c r="F43" s="76"/>
      <c r="G43" s="76">
        <v>5</v>
      </c>
      <c r="H43" s="76">
        <v>1</v>
      </c>
      <c r="I43" s="76">
        <v>1</v>
      </c>
      <c r="J43" s="76"/>
      <c r="K43" s="76">
        <v>1</v>
      </c>
      <c r="L43" s="76">
        <v>1</v>
      </c>
      <c r="M43" s="76">
        <v>1</v>
      </c>
      <c r="N43" s="76"/>
      <c r="O43" s="76">
        <v>1</v>
      </c>
      <c r="P43" s="76">
        <v>1</v>
      </c>
      <c r="Q43" s="76"/>
      <c r="R43" s="76"/>
      <c r="S43" s="76">
        <v>1</v>
      </c>
      <c r="T43" s="76"/>
      <c r="U43" s="76">
        <v>1</v>
      </c>
      <c r="V43" s="76">
        <v>1</v>
      </c>
      <c r="W43" s="76"/>
      <c r="X43" s="76"/>
      <c r="Y43" s="49"/>
      <c r="Z43" s="49"/>
      <c r="AA43" s="49"/>
      <c r="AB43" s="49"/>
      <c r="AC43" s="49">
        <v>1</v>
      </c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>
        <v>1</v>
      </c>
      <c r="AO43" s="49"/>
      <c r="AP43" s="49"/>
      <c r="AQ43" s="49">
        <v>20</v>
      </c>
      <c r="AR43" s="49"/>
      <c r="AS43" s="49">
        <v>1</v>
      </c>
    </row>
    <row r="44" spans="1:45" ht="15.75" x14ac:dyDescent="0.25">
      <c r="A44" s="42">
        <v>28</v>
      </c>
      <c r="B44" s="42" t="s">
        <v>185</v>
      </c>
      <c r="C44" s="75">
        <v>2</v>
      </c>
      <c r="D44" s="76">
        <v>1</v>
      </c>
      <c r="E44" s="76">
        <v>1</v>
      </c>
      <c r="F44" s="76"/>
      <c r="G44" s="76">
        <v>5</v>
      </c>
      <c r="H44" s="76">
        <v>1</v>
      </c>
      <c r="I44" s="76">
        <v>1</v>
      </c>
      <c r="J44" s="76"/>
      <c r="K44" s="76">
        <v>1</v>
      </c>
      <c r="L44" s="76">
        <v>1</v>
      </c>
      <c r="M44" s="76">
        <v>1</v>
      </c>
      <c r="N44" s="76"/>
      <c r="O44" s="76">
        <v>1</v>
      </c>
      <c r="P44" s="76">
        <v>1</v>
      </c>
      <c r="Q44" s="76"/>
      <c r="R44" s="76"/>
      <c r="S44" s="76">
        <v>1</v>
      </c>
      <c r="T44" s="76"/>
      <c r="U44" s="76">
        <v>1</v>
      </c>
      <c r="V44" s="76">
        <v>1</v>
      </c>
      <c r="W44" s="76"/>
      <c r="X44" s="76"/>
      <c r="Y44" s="49"/>
      <c r="Z44" s="49"/>
      <c r="AA44" s="49"/>
      <c r="AB44" s="49"/>
      <c r="AC44" s="49">
        <v>1</v>
      </c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>
        <v>1</v>
      </c>
      <c r="AO44" s="49"/>
      <c r="AP44" s="49"/>
      <c r="AQ44" s="49"/>
      <c r="AR44" s="49"/>
      <c r="AS44" s="49"/>
    </row>
    <row r="45" spans="1:45" ht="15.75" x14ac:dyDescent="0.25">
      <c r="A45" s="87">
        <v>29</v>
      </c>
      <c r="B45" s="42" t="s">
        <v>186</v>
      </c>
      <c r="C45" s="75">
        <v>2</v>
      </c>
      <c r="D45" s="76">
        <v>1</v>
      </c>
      <c r="E45" s="76">
        <v>1</v>
      </c>
      <c r="F45" s="76"/>
      <c r="G45" s="76">
        <v>5</v>
      </c>
      <c r="H45" s="76">
        <v>1</v>
      </c>
      <c r="I45" s="76">
        <v>1</v>
      </c>
      <c r="J45" s="76"/>
      <c r="K45" s="76">
        <v>1</v>
      </c>
      <c r="L45" s="76">
        <v>1</v>
      </c>
      <c r="M45" s="76">
        <v>1</v>
      </c>
      <c r="N45" s="76"/>
      <c r="O45" s="76">
        <v>1</v>
      </c>
      <c r="P45" s="76">
        <v>1</v>
      </c>
      <c r="Q45" s="76"/>
      <c r="R45" s="76"/>
      <c r="S45" s="76">
        <v>1</v>
      </c>
      <c r="T45" s="76"/>
      <c r="U45" s="76">
        <v>1</v>
      </c>
      <c r="V45" s="76">
        <v>1</v>
      </c>
      <c r="W45" s="76"/>
      <c r="X45" s="76"/>
      <c r="Y45" s="49"/>
      <c r="Z45" s="49"/>
      <c r="AA45" s="49"/>
      <c r="AB45" s="49"/>
      <c r="AC45" s="49">
        <v>1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>
        <v>1</v>
      </c>
      <c r="AO45" s="49"/>
      <c r="AP45" s="49"/>
      <c r="AQ45" s="49">
        <v>20</v>
      </c>
      <c r="AR45" s="49"/>
      <c r="AS45" s="49">
        <v>1</v>
      </c>
    </row>
    <row r="46" spans="1:45" ht="15.75" x14ac:dyDescent="0.25">
      <c r="A46" s="42">
        <v>30</v>
      </c>
      <c r="B46" s="42" t="s">
        <v>187</v>
      </c>
      <c r="C46" s="75">
        <v>2</v>
      </c>
      <c r="D46" s="76">
        <v>1</v>
      </c>
      <c r="E46" s="76">
        <v>1</v>
      </c>
      <c r="F46" s="76"/>
      <c r="G46" s="76">
        <v>5</v>
      </c>
      <c r="H46" s="76">
        <v>1</v>
      </c>
      <c r="I46" s="76">
        <v>1</v>
      </c>
      <c r="J46" s="76"/>
      <c r="K46" s="76">
        <v>1</v>
      </c>
      <c r="L46" s="76">
        <v>1</v>
      </c>
      <c r="M46" s="76">
        <v>1</v>
      </c>
      <c r="N46" s="76"/>
      <c r="O46" s="76">
        <v>1</v>
      </c>
      <c r="P46" s="76">
        <v>1</v>
      </c>
      <c r="Q46" s="76"/>
      <c r="R46" s="76"/>
      <c r="S46" s="76">
        <v>1</v>
      </c>
      <c r="T46" s="76"/>
      <c r="U46" s="76">
        <v>1</v>
      </c>
      <c r="V46" s="76">
        <v>1</v>
      </c>
      <c r="W46" s="76"/>
      <c r="X46" s="76"/>
      <c r="Y46" s="49"/>
      <c r="Z46" s="49"/>
      <c r="AA46" s="49"/>
      <c r="AB46" s="49"/>
      <c r="AC46" s="49">
        <v>1</v>
      </c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>
        <v>1</v>
      </c>
      <c r="AO46" s="49"/>
      <c r="AP46" s="49"/>
      <c r="AQ46" s="49">
        <v>20</v>
      </c>
      <c r="AR46" s="49"/>
      <c r="AS46" s="49">
        <v>1</v>
      </c>
    </row>
    <row r="47" spans="1:45" s="103" customFormat="1" x14ac:dyDescent="0.25">
      <c r="A47" s="87">
        <v>31</v>
      </c>
      <c r="B47" s="100" t="s">
        <v>318</v>
      </c>
      <c r="C47" s="101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>
        <v>30</v>
      </c>
      <c r="AR47" s="102"/>
      <c r="AS47" s="102">
        <v>1</v>
      </c>
    </row>
    <row r="48" spans="1:45" s="103" customFormat="1" ht="15.75" x14ac:dyDescent="0.25">
      <c r="A48" s="42">
        <v>32</v>
      </c>
      <c r="B48" s="100" t="s">
        <v>358</v>
      </c>
      <c r="C48" s="101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>
        <v>30</v>
      </c>
      <c r="AR48" s="102"/>
      <c r="AS48" s="102">
        <v>1</v>
      </c>
    </row>
    <row r="49" spans="1:45" s="99" customFormat="1" ht="15.75" x14ac:dyDescent="0.25">
      <c r="A49" s="87">
        <v>33</v>
      </c>
      <c r="B49" s="42" t="s">
        <v>357</v>
      </c>
      <c r="C49" s="75">
        <v>2</v>
      </c>
      <c r="D49" s="76">
        <v>1</v>
      </c>
      <c r="E49" s="76">
        <v>1</v>
      </c>
      <c r="F49" s="76"/>
      <c r="G49" s="76">
        <v>5</v>
      </c>
      <c r="H49" s="76">
        <v>1</v>
      </c>
      <c r="I49" s="76">
        <v>1</v>
      </c>
      <c r="J49" s="76"/>
      <c r="K49" s="76">
        <v>1</v>
      </c>
      <c r="L49" s="76">
        <v>1</v>
      </c>
      <c r="M49" s="76">
        <v>1</v>
      </c>
      <c r="N49" s="76"/>
      <c r="O49" s="76">
        <v>1</v>
      </c>
      <c r="P49" s="76">
        <v>1</v>
      </c>
      <c r="Q49" s="76"/>
      <c r="R49" s="76"/>
      <c r="S49" s="76">
        <v>1</v>
      </c>
      <c r="T49" s="76"/>
      <c r="U49" s="76">
        <v>1</v>
      </c>
      <c r="V49" s="76">
        <v>1</v>
      </c>
      <c r="W49" s="76"/>
      <c r="X49" s="76"/>
      <c r="Y49" s="49"/>
      <c r="Z49" s="49"/>
      <c r="AA49" s="49"/>
      <c r="AB49" s="49"/>
      <c r="AC49" s="49">
        <v>1</v>
      </c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>
        <v>1</v>
      </c>
      <c r="AO49" s="49"/>
      <c r="AP49" s="49"/>
      <c r="AQ49" s="49"/>
      <c r="AR49" s="49"/>
      <c r="AS49" s="49"/>
    </row>
    <row r="50" spans="1:45" ht="15.75" x14ac:dyDescent="0.25">
      <c r="A50" s="42">
        <v>34</v>
      </c>
      <c r="B50" s="42" t="s">
        <v>313</v>
      </c>
      <c r="C50" s="75">
        <v>2</v>
      </c>
      <c r="D50" s="76">
        <v>1</v>
      </c>
      <c r="E50" s="76">
        <v>1</v>
      </c>
      <c r="F50" s="76"/>
      <c r="G50" s="76">
        <v>5</v>
      </c>
      <c r="H50" s="76">
        <v>1</v>
      </c>
      <c r="I50" s="76">
        <v>1</v>
      </c>
      <c r="J50" s="76"/>
      <c r="K50" s="76">
        <v>1</v>
      </c>
      <c r="L50" s="76">
        <v>1</v>
      </c>
      <c r="M50" s="76">
        <v>1</v>
      </c>
      <c r="N50" s="76"/>
      <c r="O50" s="76">
        <v>1</v>
      </c>
      <c r="P50" s="76">
        <v>1</v>
      </c>
      <c r="Q50" s="76"/>
      <c r="R50" s="76"/>
      <c r="S50" s="76">
        <v>1</v>
      </c>
      <c r="T50" s="76"/>
      <c r="U50" s="76">
        <v>1</v>
      </c>
      <c r="V50" s="76">
        <v>1</v>
      </c>
      <c r="W50" s="76"/>
      <c r="X50" s="76"/>
      <c r="Y50" s="49"/>
      <c r="Z50" s="49"/>
      <c r="AA50" s="49"/>
      <c r="AB50" s="49"/>
      <c r="AC50" s="49">
        <v>1</v>
      </c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>
        <v>1</v>
      </c>
      <c r="AO50" s="49"/>
      <c r="AP50" s="49"/>
      <c r="AQ50" s="49">
        <v>20</v>
      </c>
      <c r="AR50" s="49"/>
      <c r="AS50" s="49">
        <v>1</v>
      </c>
    </row>
    <row r="51" spans="1:45" ht="15.75" x14ac:dyDescent="0.25">
      <c r="A51" s="87">
        <v>35</v>
      </c>
      <c r="B51" s="42" t="s">
        <v>328</v>
      </c>
      <c r="C51" s="75">
        <v>2</v>
      </c>
      <c r="D51" s="76">
        <v>1</v>
      </c>
      <c r="E51" s="76">
        <v>1</v>
      </c>
      <c r="F51" s="76"/>
      <c r="G51" s="76">
        <v>5</v>
      </c>
      <c r="H51" s="76">
        <v>1</v>
      </c>
      <c r="I51" s="76">
        <v>1</v>
      </c>
      <c r="J51" s="76"/>
      <c r="K51" s="76">
        <v>1</v>
      </c>
      <c r="L51" s="76">
        <v>1</v>
      </c>
      <c r="M51" s="76">
        <v>1</v>
      </c>
      <c r="N51" s="76"/>
      <c r="O51" s="76">
        <v>1</v>
      </c>
      <c r="P51" s="76">
        <v>1</v>
      </c>
      <c r="Q51" s="76"/>
      <c r="R51" s="76"/>
      <c r="S51" s="76">
        <v>1</v>
      </c>
      <c r="T51" s="76"/>
      <c r="U51" s="76">
        <v>1</v>
      </c>
      <c r="V51" s="76">
        <v>1</v>
      </c>
      <c r="W51" s="76"/>
      <c r="X51" s="76"/>
      <c r="Y51" s="49"/>
      <c r="Z51" s="49"/>
      <c r="AA51" s="49"/>
      <c r="AB51" s="49"/>
      <c r="AC51" s="49">
        <v>1</v>
      </c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>
        <v>1</v>
      </c>
      <c r="AO51" s="49"/>
      <c r="AP51" s="49"/>
      <c r="AQ51" s="49">
        <v>20</v>
      </c>
      <c r="AR51" s="49"/>
      <c r="AS51" s="49">
        <v>1</v>
      </c>
    </row>
    <row r="52" spans="1:45" ht="15.75" x14ac:dyDescent="0.25">
      <c r="A52" s="42">
        <v>36</v>
      </c>
      <c r="B52" s="42" t="s">
        <v>317</v>
      </c>
      <c r="C52" s="75">
        <v>2</v>
      </c>
      <c r="D52" s="76">
        <v>1</v>
      </c>
      <c r="E52" s="76">
        <v>1</v>
      </c>
      <c r="F52" s="76"/>
      <c r="G52" s="76">
        <v>5</v>
      </c>
      <c r="H52" s="76">
        <v>1</v>
      </c>
      <c r="I52" s="76">
        <v>1</v>
      </c>
      <c r="J52" s="76"/>
      <c r="K52" s="76">
        <v>1</v>
      </c>
      <c r="L52" s="76">
        <v>1</v>
      </c>
      <c r="M52" s="76">
        <v>1</v>
      </c>
      <c r="N52" s="76"/>
      <c r="O52" s="76">
        <v>1</v>
      </c>
      <c r="P52" s="76">
        <v>1</v>
      </c>
      <c r="Q52" s="76"/>
      <c r="R52" s="76"/>
      <c r="S52" s="76">
        <v>1</v>
      </c>
      <c r="T52" s="76"/>
      <c r="U52" s="76">
        <v>1</v>
      </c>
      <c r="V52" s="76">
        <v>1</v>
      </c>
      <c r="W52" s="76"/>
      <c r="X52" s="76"/>
      <c r="Y52" s="49"/>
      <c r="Z52" s="49"/>
      <c r="AA52" s="49"/>
      <c r="AB52" s="49"/>
      <c r="AC52" s="49">
        <v>1</v>
      </c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>
        <v>1</v>
      </c>
      <c r="AO52" s="49"/>
      <c r="AP52" s="49"/>
      <c r="AQ52" s="49">
        <v>20</v>
      </c>
      <c r="AR52" s="49"/>
      <c r="AS52" s="49">
        <v>1</v>
      </c>
    </row>
    <row r="53" spans="1:45" ht="15.75" x14ac:dyDescent="0.25">
      <c r="A53" s="87">
        <v>37</v>
      </c>
      <c r="B53" s="42" t="s">
        <v>334</v>
      </c>
      <c r="C53" s="75">
        <v>2</v>
      </c>
      <c r="D53" s="76">
        <v>1</v>
      </c>
      <c r="E53" s="76">
        <v>1</v>
      </c>
      <c r="F53" s="76"/>
      <c r="G53" s="76">
        <v>5</v>
      </c>
      <c r="H53" s="76">
        <v>1</v>
      </c>
      <c r="I53" s="76">
        <v>1</v>
      </c>
      <c r="J53" s="76"/>
      <c r="K53" s="76">
        <v>1</v>
      </c>
      <c r="L53" s="76">
        <v>1</v>
      </c>
      <c r="M53" s="76">
        <v>1</v>
      </c>
      <c r="N53" s="76"/>
      <c r="O53" s="76">
        <v>1</v>
      </c>
      <c r="P53" s="76">
        <v>1</v>
      </c>
      <c r="Q53" s="76"/>
      <c r="R53" s="76"/>
      <c r="S53" s="76">
        <v>1</v>
      </c>
      <c r="T53" s="76"/>
      <c r="U53" s="76">
        <v>1</v>
      </c>
      <c r="V53" s="76">
        <v>1</v>
      </c>
      <c r="W53" s="76"/>
      <c r="X53" s="76"/>
      <c r="Y53" s="49"/>
      <c r="Z53" s="49"/>
      <c r="AA53" s="49"/>
      <c r="AB53" s="49"/>
      <c r="AC53" s="49">
        <v>1</v>
      </c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>
        <v>1</v>
      </c>
      <c r="AO53" s="49"/>
      <c r="AP53" s="49"/>
      <c r="AQ53" s="49">
        <v>20</v>
      </c>
      <c r="AR53" s="49"/>
      <c r="AS53" s="49">
        <v>1</v>
      </c>
    </row>
    <row r="54" spans="1:45" s="42" customFormat="1" ht="15.75" x14ac:dyDescent="0.25">
      <c r="A54" s="42">
        <v>38</v>
      </c>
      <c r="B54" s="42" t="s">
        <v>346</v>
      </c>
      <c r="C54" s="75">
        <v>2</v>
      </c>
      <c r="D54" s="76">
        <v>1</v>
      </c>
      <c r="E54" s="76">
        <v>1</v>
      </c>
      <c r="F54" s="76"/>
      <c r="G54" s="76">
        <v>5</v>
      </c>
      <c r="H54" s="76">
        <v>1</v>
      </c>
      <c r="I54" s="76">
        <v>1</v>
      </c>
      <c r="J54" s="76"/>
      <c r="K54" s="76">
        <v>1</v>
      </c>
      <c r="L54" s="76">
        <v>1</v>
      </c>
      <c r="M54" s="76">
        <v>1</v>
      </c>
      <c r="N54" s="76"/>
      <c r="O54" s="76">
        <v>1</v>
      </c>
      <c r="P54" s="76">
        <v>1</v>
      </c>
      <c r="Q54" s="76"/>
      <c r="R54" s="76"/>
      <c r="S54" s="76">
        <v>1</v>
      </c>
      <c r="T54" s="76"/>
      <c r="U54" s="76">
        <v>1</v>
      </c>
      <c r="V54" s="76">
        <v>1</v>
      </c>
      <c r="W54" s="76"/>
      <c r="X54" s="76"/>
      <c r="Y54" s="49"/>
      <c r="Z54" s="49"/>
      <c r="AA54" s="49"/>
      <c r="AB54" s="49"/>
      <c r="AC54" s="49">
        <v>1</v>
      </c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>
        <v>1</v>
      </c>
      <c r="AO54" s="49"/>
      <c r="AP54" s="49"/>
      <c r="AQ54" s="49">
        <v>50</v>
      </c>
      <c r="AR54" s="49"/>
      <c r="AS54" s="49">
        <v>1</v>
      </c>
    </row>
    <row r="55" spans="1:45" ht="15.75" x14ac:dyDescent="0.25">
      <c r="A55" s="87">
        <v>39</v>
      </c>
      <c r="B55" s="42" t="s">
        <v>345</v>
      </c>
      <c r="C55" s="75">
        <v>2</v>
      </c>
      <c r="D55" s="76">
        <v>1</v>
      </c>
      <c r="E55" s="76">
        <v>1</v>
      </c>
      <c r="F55" s="76"/>
      <c r="G55" s="76">
        <v>5</v>
      </c>
      <c r="H55" s="76">
        <v>1</v>
      </c>
      <c r="I55" s="76">
        <v>1</v>
      </c>
      <c r="J55" s="76"/>
      <c r="K55" s="76">
        <v>1</v>
      </c>
      <c r="L55" s="76">
        <v>1</v>
      </c>
      <c r="M55" s="76">
        <v>1</v>
      </c>
      <c r="N55" s="76"/>
      <c r="O55" s="76">
        <v>1</v>
      </c>
      <c r="P55" s="76">
        <v>1</v>
      </c>
      <c r="Q55" s="76"/>
      <c r="R55" s="76"/>
      <c r="S55" s="76">
        <v>1</v>
      </c>
      <c r="T55" s="76"/>
      <c r="U55" s="76">
        <v>1</v>
      </c>
      <c r="V55" s="76">
        <v>1</v>
      </c>
      <c r="W55" s="76"/>
      <c r="X55" s="76"/>
      <c r="Y55" s="49"/>
      <c r="Z55" s="49"/>
      <c r="AA55" s="49"/>
      <c r="AB55" s="49"/>
      <c r="AC55" s="49">
        <v>1</v>
      </c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>
        <v>1</v>
      </c>
      <c r="AO55" s="49"/>
      <c r="AP55" s="49"/>
      <c r="AQ55" s="49"/>
      <c r="AR55" s="49"/>
      <c r="AS55" s="49"/>
    </row>
    <row r="56" spans="1:45" ht="15.75" x14ac:dyDescent="0.25">
      <c r="A56" s="42">
        <v>40</v>
      </c>
      <c r="B56" s="42" t="s">
        <v>343</v>
      </c>
      <c r="C56" s="75">
        <v>2</v>
      </c>
      <c r="D56" s="76">
        <v>1</v>
      </c>
      <c r="E56" s="76">
        <v>1</v>
      </c>
      <c r="F56" s="76"/>
      <c r="G56" s="76">
        <v>5</v>
      </c>
      <c r="H56" s="76">
        <v>1</v>
      </c>
      <c r="I56" s="76">
        <v>1</v>
      </c>
      <c r="J56" s="76"/>
      <c r="K56" s="76">
        <v>1</v>
      </c>
      <c r="L56" s="76">
        <v>1</v>
      </c>
      <c r="M56" s="76">
        <v>1</v>
      </c>
      <c r="N56" s="76"/>
      <c r="O56" s="76">
        <v>1</v>
      </c>
      <c r="P56" s="76">
        <v>1</v>
      </c>
      <c r="Q56" s="76"/>
      <c r="R56" s="76"/>
      <c r="S56" s="76">
        <v>1</v>
      </c>
      <c r="T56" s="76"/>
      <c r="U56" s="76">
        <v>1</v>
      </c>
      <c r="V56" s="76">
        <v>1</v>
      </c>
      <c r="W56" s="76"/>
      <c r="X56" s="76"/>
      <c r="Y56" s="49"/>
      <c r="Z56" s="49"/>
      <c r="AA56" s="49"/>
      <c r="AB56" s="49"/>
      <c r="AC56" s="49">
        <v>1</v>
      </c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>
        <v>1</v>
      </c>
      <c r="AO56" s="49"/>
      <c r="AP56" s="49"/>
      <c r="AQ56" s="49">
        <v>30</v>
      </c>
      <c r="AR56" s="49"/>
      <c r="AS56" s="49">
        <v>1</v>
      </c>
    </row>
    <row r="57" spans="1:45" s="42" customFormat="1" ht="15.75" x14ac:dyDescent="0.25">
      <c r="A57" s="87">
        <v>41</v>
      </c>
      <c r="B57" s="42" t="s">
        <v>355</v>
      </c>
      <c r="C57" s="75">
        <v>2</v>
      </c>
      <c r="D57" s="76">
        <v>1</v>
      </c>
      <c r="E57" s="76">
        <v>1</v>
      </c>
      <c r="F57" s="76"/>
      <c r="G57" s="76">
        <v>5</v>
      </c>
      <c r="H57" s="76">
        <v>1</v>
      </c>
      <c r="I57" s="76">
        <v>1</v>
      </c>
      <c r="J57" s="76"/>
      <c r="K57" s="76">
        <v>1</v>
      </c>
      <c r="L57" s="76">
        <v>1</v>
      </c>
      <c r="M57" s="76">
        <v>1</v>
      </c>
      <c r="N57" s="76"/>
      <c r="O57" s="76">
        <v>1</v>
      </c>
      <c r="P57" s="76">
        <v>1</v>
      </c>
      <c r="Q57" s="76"/>
      <c r="R57" s="76"/>
      <c r="S57" s="76">
        <v>1</v>
      </c>
      <c r="T57" s="76"/>
      <c r="U57" s="76">
        <v>1</v>
      </c>
      <c r="V57" s="76">
        <v>1</v>
      </c>
      <c r="W57" s="76"/>
      <c r="X57" s="76"/>
      <c r="Y57" s="49"/>
      <c r="Z57" s="49"/>
      <c r="AA57" s="49"/>
      <c r="AB57" s="49"/>
      <c r="AC57" s="49">
        <v>1</v>
      </c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>
        <v>1</v>
      </c>
      <c r="AO57" s="49"/>
      <c r="AP57" s="49"/>
      <c r="AQ57" s="49">
        <v>40</v>
      </c>
      <c r="AR57" s="49"/>
      <c r="AS57" s="49">
        <v>1</v>
      </c>
    </row>
    <row r="58" spans="1:45" ht="15.75" x14ac:dyDescent="0.25">
      <c r="A58" s="42">
        <v>42</v>
      </c>
      <c r="B58" s="42" t="s">
        <v>381</v>
      </c>
      <c r="C58" s="75">
        <v>2</v>
      </c>
      <c r="D58" s="76">
        <v>1</v>
      </c>
      <c r="E58" s="76">
        <v>1</v>
      </c>
      <c r="F58" s="76"/>
      <c r="G58" s="76">
        <v>5</v>
      </c>
      <c r="H58" s="76">
        <v>1</v>
      </c>
      <c r="I58" s="76">
        <v>1</v>
      </c>
      <c r="J58" s="76"/>
      <c r="K58" s="76">
        <v>1</v>
      </c>
      <c r="L58" s="76">
        <v>1</v>
      </c>
      <c r="M58" s="76">
        <v>1</v>
      </c>
      <c r="N58" s="76"/>
      <c r="O58" s="76">
        <v>1</v>
      </c>
      <c r="P58" s="76">
        <v>1</v>
      </c>
      <c r="Q58" s="76"/>
      <c r="R58" s="76"/>
      <c r="S58" s="76">
        <v>1</v>
      </c>
      <c r="T58" s="76"/>
      <c r="U58" s="76">
        <v>1</v>
      </c>
      <c r="V58" s="76">
        <v>1</v>
      </c>
      <c r="W58" s="76"/>
      <c r="X58" s="76"/>
      <c r="Y58" s="49"/>
      <c r="Z58" s="49"/>
      <c r="AA58" s="49"/>
      <c r="AB58" s="49"/>
      <c r="AC58" s="49">
        <v>1</v>
      </c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>
        <v>1</v>
      </c>
      <c r="AO58" s="49"/>
      <c r="AP58" s="49"/>
      <c r="AQ58" s="49">
        <v>20</v>
      </c>
      <c r="AR58" s="49"/>
      <c r="AS58" s="49">
        <v>1</v>
      </c>
    </row>
    <row r="59" spans="1:45" ht="15.75" x14ac:dyDescent="0.25">
      <c r="A59" s="87">
        <v>43</v>
      </c>
      <c r="B59" s="42" t="s">
        <v>398</v>
      </c>
      <c r="C59" s="75">
        <v>2</v>
      </c>
      <c r="D59" s="76">
        <v>1</v>
      </c>
      <c r="E59" s="76">
        <v>1</v>
      </c>
      <c r="F59" s="76"/>
      <c r="G59" s="76">
        <v>5</v>
      </c>
      <c r="H59" s="76">
        <v>1</v>
      </c>
      <c r="I59" s="76">
        <v>1</v>
      </c>
      <c r="J59" s="76"/>
      <c r="K59" s="76">
        <v>1</v>
      </c>
      <c r="L59" s="76">
        <v>1</v>
      </c>
      <c r="M59" s="76">
        <v>1</v>
      </c>
      <c r="N59" s="76"/>
      <c r="O59" s="76">
        <v>1</v>
      </c>
      <c r="P59" s="76">
        <v>1</v>
      </c>
      <c r="Q59" s="76"/>
      <c r="R59" s="76"/>
      <c r="S59" s="76">
        <v>1</v>
      </c>
      <c r="T59" s="76"/>
      <c r="U59" s="76">
        <v>1</v>
      </c>
      <c r="V59" s="76">
        <v>1</v>
      </c>
      <c r="W59" s="76"/>
      <c r="X59" s="76"/>
      <c r="Y59" s="49"/>
      <c r="Z59" s="49"/>
      <c r="AA59" s="49"/>
      <c r="AB59" s="49"/>
      <c r="AC59" s="49">
        <v>1</v>
      </c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>
        <v>1</v>
      </c>
      <c r="AO59" s="49"/>
      <c r="AP59" s="49"/>
      <c r="AQ59" s="49">
        <v>30</v>
      </c>
      <c r="AR59" s="49"/>
      <c r="AS59" s="49">
        <v>1</v>
      </c>
    </row>
    <row r="60" spans="1:45" ht="15.75" x14ac:dyDescent="0.25">
      <c r="A60" s="42">
        <v>44</v>
      </c>
      <c r="B60" s="42" t="s">
        <v>399</v>
      </c>
      <c r="C60" s="75">
        <v>2</v>
      </c>
      <c r="D60" s="76">
        <v>1</v>
      </c>
      <c r="E60" s="76">
        <v>1</v>
      </c>
      <c r="F60" s="76"/>
      <c r="G60" s="76">
        <v>5</v>
      </c>
      <c r="H60" s="76">
        <v>1</v>
      </c>
      <c r="I60" s="76">
        <v>1</v>
      </c>
      <c r="J60" s="76"/>
      <c r="K60" s="76">
        <v>1</v>
      </c>
      <c r="L60" s="76">
        <v>1</v>
      </c>
      <c r="M60" s="76">
        <v>1</v>
      </c>
      <c r="N60" s="76"/>
      <c r="O60" s="76">
        <v>1</v>
      </c>
      <c r="P60" s="76">
        <v>1</v>
      </c>
      <c r="Q60" s="76"/>
      <c r="R60" s="76"/>
      <c r="S60" s="76">
        <v>1</v>
      </c>
      <c r="T60" s="76"/>
      <c r="U60" s="76">
        <v>1</v>
      </c>
      <c r="V60" s="76">
        <v>1</v>
      </c>
      <c r="W60" s="76"/>
      <c r="X60" s="76"/>
      <c r="Y60" s="49"/>
      <c r="Z60" s="49"/>
      <c r="AA60" s="49"/>
      <c r="AB60" s="49"/>
      <c r="AC60" s="49">
        <v>1</v>
      </c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>
        <v>1</v>
      </c>
      <c r="AO60" s="49"/>
      <c r="AP60" s="49"/>
      <c r="AQ60" s="49">
        <v>20</v>
      </c>
      <c r="AR60" s="49"/>
      <c r="AS60" s="49">
        <v>1</v>
      </c>
    </row>
    <row r="61" spans="1:45" ht="15.75" x14ac:dyDescent="0.25">
      <c r="A61" s="87">
        <v>45</v>
      </c>
      <c r="B61" s="42" t="s">
        <v>384</v>
      </c>
      <c r="C61" s="75">
        <v>2</v>
      </c>
      <c r="D61" s="76">
        <v>1</v>
      </c>
      <c r="E61" s="76">
        <v>1</v>
      </c>
      <c r="F61" s="76"/>
      <c r="G61" s="76">
        <v>5</v>
      </c>
      <c r="H61" s="76">
        <v>1</v>
      </c>
      <c r="I61" s="76">
        <v>1</v>
      </c>
      <c r="J61" s="76"/>
      <c r="K61" s="76">
        <v>1</v>
      </c>
      <c r="L61" s="76">
        <v>1</v>
      </c>
      <c r="M61" s="76">
        <v>1</v>
      </c>
      <c r="N61" s="76"/>
      <c r="O61" s="76">
        <v>1</v>
      </c>
      <c r="P61" s="76">
        <v>1</v>
      </c>
      <c r="Q61" s="76"/>
      <c r="R61" s="76"/>
      <c r="S61" s="76">
        <v>1</v>
      </c>
      <c r="T61" s="76"/>
      <c r="U61" s="76">
        <v>1</v>
      </c>
      <c r="V61" s="76">
        <v>1</v>
      </c>
      <c r="W61" s="76"/>
      <c r="X61" s="76"/>
      <c r="Y61" s="49"/>
      <c r="Z61" s="49"/>
      <c r="AA61" s="49"/>
      <c r="AB61" s="49"/>
      <c r="AC61" s="49">
        <v>1</v>
      </c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>
        <v>1</v>
      </c>
      <c r="AO61" s="49"/>
      <c r="AP61" s="49"/>
      <c r="AQ61" s="49">
        <v>20</v>
      </c>
      <c r="AR61" s="49"/>
      <c r="AS61" s="49">
        <v>1</v>
      </c>
    </row>
    <row r="62" spans="1:45" ht="15.75" x14ac:dyDescent="0.25">
      <c r="A62" s="42">
        <v>46</v>
      </c>
      <c r="B62" s="42" t="s">
        <v>392</v>
      </c>
      <c r="C62" s="75">
        <v>2</v>
      </c>
      <c r="D62" s="76">
        <v>1</v>
      </c>
      <c r="E62" s="76">
        <v>1</v>
      </c>
      <c r="F62" s="76"/>
      <c r="G62" s="76">
        <v>5</v>
      </c>
      <c r="H62" s="76">
        <v>1</v>
      </c>
      <c r="I62" s="76">
        <v>1</v>
      </c>
      <c r="J62" s="76"/>
      <c r="K62" s="76">
        <v>1</v>
      </c>
      <c r="L62" s="76">
        <v>1</v>
      </c>
      <c r="M62" s="76">
        <v>1</v>
      </c>
      <c r="N62" s="76"/>
      <c r="O62" s="76">
        <v>1</v>
      </c>
      <c r="P62" s="76">
        <v>1</v>
      </c>
      <c r="Q62" s="76"/>
      <c r="R62" s="76"/>
      <c r="S62" s="76">
        <v>1</v>
      </c>
      <c r="T62" s="76"/>
      <c r="U62" s="76">
        <v>1</v>
      </c>
      <c r="V62" s="76">
        <v>1</v>
      </c>
      <c r="W62" s="76"/>
      <c r="X62" s="76"/>
      <c r="Y62" s="49"/>
      <c r="Z62" s="49"/>
      <c r="AA62" s="49"/>
      <c r="AB62" s="49"/>
      <c r="AC62" s="49">
        <v>1</v>
      </c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>
        <v>1</v>
      </c>
      <c r="AO62" s="49"/>
      <c r="AP62" s="49"/>
      <c r="AQ62" s="49">
        <v>20</v>
      </c>
      <c r="AR62" s="49"/>
      <c r="AS62" s="49">
        <v>1</v>
      </c>
    </row>
    <row r="63" spans="1:45" ht="15.75" x14ac:dyDescent="0.25">
      <c r="A63" s="87">
        <v>47</v>
      </c>
      <c r="B63" s="42" t="s">
        <v>363</v>
      </c>
      <c r="C63" s="75">
        <v>2</v>
      </c>
      <c r="D63" s="76">
        <v>1</v>
      </c>
      <c r="E63" s="76">
        <v>1</v>
      </c>
      <c r="F63" s="76"/>
      <c r="G63" s="76">
        <v>5</v>
      </c>
      <c r="H63" s="76">
        <v>1</v>
      </c>
      <c r="I63" s="76">
        <v>1</v>
      </c>
      <c r="J63" s="76"/>
      <c r="K63" s="76">
        <v>1</v>
      </c>
      <c r="L63" s="76">
        <v>1</v>
      </c>
      <c r="M63" s="76">
        <v>1</v>
      </c>
      <c r="N63" s="76"/>
      <c r="O63" s="76">
        <v>1</v>
      </c>
      <c r="P63" s="76">
        <v>1</v>
      </c>
      <c r="Q63" s="76"/>
      <c r="R63" s="76"/>
      <c r="S63" s="76">
        <v>1</v>
      </c>
      <c r="T63" s="76"/>
      <c r="U63" s="76">
        <v>1</v>
      </c>
      <c r="V63" s="76">
        <v>1</v>
      </c>
      <c r="W63" s="76"/>
      <c r="X63" s="76"/>
      <c r="Y63" s="49"/>
      <c r="Z63" s="49"/>
      <c r="AA63" s="49"/>
      <c r="AB63" s="49"/>
      <c r="AC63" s="49">
        <v>1</v>
      </c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>
        <v>1</v>
      </c>
      <c r="AO63" s="49"/>
      <c r="AP63" s="49"/>
      <c r="AQ63" s="49">
        <v>30</v>
      </c>
      <c r="AR63" s="49"/>
      <c r="AS63" s="49">
        <v>1</v>
      </c>
    </row>
    <row r="64" spans="1:45" ht="15.75" x14ac:dyDescent="0.25">
      <c r="A64" s="42">
        <v>48</v>
      </c>
      <c r="B64" s="42" t="s">
        <v>406</v>
      </c>
      <c r="C64" s="75">
        <v>2</v>
      </c>
      <c r="D64" s="76">
        <v>1</v>
      </c>
      <c r="E64" s="76">
        <v>1</v>
      </c>
      <c r="F64" s="76"/>
      <c r="G64" s="76">
        <v>5</v>
      </c>
      <c r="H64" s="76">
        <v>1</v>
      </c>
      <c r="I64" s="76">
        <v>1</v>
      </c>
      <c r="J64" s="76"/>
      <c r="K64" s="76">
        <v>1</v>
      </c>
      <c r="L64" s="76">
        <v>1</v>
      </c>
      <c r="M64" s="76">
        <v>1</v>
      </c>
      <c r="N64" s="76"/>
      <c r="O64" s="76">
        <v>1</v>
      </c>
      <c r="P64" s="76">
        <v>1</v>
      </c>
      <c r="Q64" s="76"/>
      <c r="R64" s="76"/>
      <c r="S64" s="76">
        <v>1</v>
      </c>
      <c r="T64" s="76"/>
      <c r="U64" s="76">
        <v>1</v>
      </c>
      <c r="V64" s="76">
        <v>1</v>
      </c>
      <c r="W64" s="76"/>
      <c r="X64" s="76"/>
      <c r="Y64" s="49"/>
      <c r="Z64" s="49"/>
      <c r="AA64" s="49"/>
      <c r="AB64" s="49"/>
      <c r="AC64" s="49">
        <v>1</v>
      </c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>
        <v>1</v>
      </c>
      <c r="AO64" s="49"/>
      <c r="AP64" s="49"/>
      <c r="AQ64" s="49"/>
      <c r="AR64" s="49"/>
      <c r="AS64" s="49"/>
    </row>
    <row r="65" spans="1:45" ht="15.75" x14ac:dyDescent="0.25">
      <c r="A65" s="87">
        <v>49</v>
      </c>
      <c r="B65" s="42" t="s">
        <v>443</v>
      </c>
      <c r="C65" s="75">
        <v>2</v>
      </c>
      <c r="D65" s="76">
        <v>1</v>
      </c>
      <c r="E65" s="76">
        <v>1</v>
      </c>
      <c r="F65" s="76"/>
      <c r="G65" s="76">
        <v>5</v>
      </c>
      <c r="H65" s="76">
        <v>1</v>
      </c>
      <c r="I65" s="76">
        <v>1</v>
      </c>
      <c r="J65" s="76"/>
      <c r="K65" s="76">
        <v>1</v>
      </c>
      <c r="L65" s="76">
        <v>1</v>
      </c>
      <c r="M65" s="76">
        <v>1</v>
      </c>
      <c r="N65" s="76"/>
      <c r="O65" s="76">
        <v>1</v>
      </c>
      <c r="P65" s="76">
        <v>1</v>
      </c>
      <c r="Q65" s="76"/>
      <c r="R65" s="76"/>
      <c r="S65" s="76">
        <v>1</v>
      </c>
      <c r="T65" s="76"/>
      <c r="U65" s="76">
        <v>1</v>
      </c>
      <c r="V65" s="76">
        <v>1</v>
      </c>
      <c r="W65" s="76"/>
      <c r="X65" s="76"/>
      <c r="Y65" s="49"/>
      <c r="Z65" s="49"/>
      <c r="AA65" s="49"/>
      <c r="AB65" s="49"/>
      <c r="AC65" s="49">
        <v>1</v>
      </c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>
        <v>1</v>
      </c>
      <c r="AO65" s="49"/>
      <c r="AP65" s="49"/>
      <c r="AQ65" s="49">
        <v>20</v>
      </c>
      <c r="AR65" s="49"/>
      <c r="AS65" s="49">
        <v>1</v>
      </c>
    </row>
    <row r="66" spans="1:45" ht="15.75" x14ac:dyDescent="0.25">
      <c r="A66" s="42">
        <v>50</v>
      </c>
      <c r="B66" s="42" t="s">
        <v>373</v>
      </c>
      <c r="C66" s="75">
        <v>2</v>
      </c>
      <c r="D66" s="76">
        <v>1</v>
      </c>
      <c r="E66" s="76">
        <v>1</v>
      </c>
      <c r="F66" s="76"/>
      <c r="G66" s="76">
        <v>5</v>
      </c>
      <c r="H66" s="76">
        <v>1</v>
      </c>
      <c r="I66" s="76">
        <v>1</v>
      </c>
      <c r="J66" s="76"/>
      <c r="K66" s="76">
        <v>1</v>
      </c>
      <c r="L66" s="76">
        <v>1</v>
      </c>
      <c r="M66" s="76">
        <v>1</v>
      </c>
      <c r="N66" s="76"/>
      <c r="O66" s="76">
        <v>1</v>
      </c>
      <c r="P66" s="76">
        <v>1</v>
      </c>
      <c r="Q66" s="76"/>
      <c r="R66" s="76"/>
      <c r="S66" s="76">
        <v>1</v>
      </c>
      <c r="T66" s="76"/>
      <c r="U66" s="76">
        <v>1</v>
      </c>
      <c r="V66" s="76">
        <v>1</v>
      </c>
      <c r="W66" s="76"/>
      <c r="X66" s="76"/>
      <c r="Y66" s="49"/>
      <c r="Z66" s="49"/>
      <c r="AA66" s="49"/>
      <c r="AB66" s="49"/>
      <c r="AC66" s="49">
        <v>1</v>
      </c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>
        <v>1</v>
      </c>
      <c r="AO66" s="49"/>
      <c r="AP66" s="49"/>
      <c r="AQ66" s="49"/>
      <c r="AR66" s="49"/>
      <c r="AS66" s="49"/>
    </row>
    <row r="67" spans="1:45" ht="15.75" x14ac:dyDescent="0.25">
      <c r="A67" s="87">
        <v>51</v>
      </c>
      <c r="B67" s="42" t="s">
        <v>320</v>
      </c>
      <c r="C67" s="75">
        <v>2</v>
      </c>
      <c r="D67" s="76">
        <v>1</v>
      </c>
      <c r="E67" s="76">
        <v>1</v>
      </c>
      <c r="F67" s="76"/>
      <c r="G67" s="76">
        <v>5</v>
      </c>
      <c r="H67" s="76">
        <v>1</v>
      </c>
      <c r="I67" s="76">
        <v>1</v>
      </c>
      <c r="J67" s="76"/>
      <c r="K67" s="76">
        <v>1</v>
      </c>
      <c r="L67" s="76">
        <v>1</v>
      </c>
      <c r="M67" s="76">
        <v>1</v>
      </c>
      <c r="N67" s="76"/>
      <c r="O67" s="76">
        <v>1</v>
      </c>
      <c r="P67" s="76">
        <v>1</v>
      </c>
      <c r="Q67" s="76"/>
      <c r="R67" s="76"/>
      <c r="S67" s="76">
        <v>1</v>
      </c>
      <c r="T67" s="76"/>
      <c r="U67" s="76">
        <v>1</v>
      </c>
      <c r="V67" s="76">
        <v>1</v>
      </c>
      <c r="W67" s="76"/>
      <c r="X67" s="76"/>
      <c r="Y67" s="49"/>
      <c r="Z67" s="49"/>
      <c r="AA67" s="49"/>
      <c r="AB67" s="49"/>
      <c r="AC67" s="49">
        <v>1</v>
      </c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>
        <v>1</v>
      </c>
      <c r="AO67" s="49"/>
      <c r="AP67" s="49"/>
      <c r="AQ67" s="49">
        <v>20</v>
      </c>
      <c r="AR67" s="49"/>
      <c r="AS67" s="49">
        <v>1</v>
      </c>
    </row>
    <row r="68" spans="1:45" ht="15.75" x14ac:dyDescent="0.25">
      <c r="A68" s="42">
        <v>52</v>
      </c>
      <c r="B68" s="42" t="s">
        <v>304</v>
      </c>
      <c r="C68" s="75">
        <v>2</v>
      </c>
      <c r="D68" s="76">
        <v>1</v>
      </c>
      <c r="E68" s="76">
        <v>1</v>
      </c>
      <c r="F68" s="76"/>
      <c r="G68" s="76">
        <v>5</v>
      </c>
      <c r="H68" s="76">
        <v>1</v>
      </c>
      <c r="I68" s="76">
        <v>1</v>
      </c>
      <c r="J68" s="76"/>
      <c r="K68" s="76">
        <v>1</v>
      </c>
      <c r="L68" s="76">
        <v>1</v>
      </c>
      <c r="M68" s="76">
        <v>1</v>
      </c>
      <c r="N68" s="76"/>
      <c r="O68" s="76">
        <v>1</v>
      </c>
      <c r="P68" s="76">
        <v>1</v>
      </c>
      <c r="Q68" s="76"/>
      <c r="R68" s="76"/>
      <c r="S68" s="76">
        <v>1</v>
      </c>
      <c r="T68" s="76"/>
      <c r="U68" s="76">
        <v>1</v>
      </c>
      <c r="V68" s="76">
        <v>1</v>
      </c>
      <c r="W68" s="76"/>
      <c r="X68" s="76"/>
      <c r="Y68" s="49"/>
      <c r="Z68" s="49"/>
      <c r="AA68" s="49"/>
      <c r="AB68" s="49"/>
      <c r="AC68" s="49">
        <v>1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>
        <v>1</v>
      </c>
      <c r="AO68" s="49"/>
      <c r="AP68" s="49"/>
      <c r="AQ68" s="49">
        <v>20</v>
      </c>
      <c r="AR68" s="49"/>
      <c r="AS68" s="49">
        <v>1</v>
      </c>
    </row>
    <row r="69" spans="1:45" ht="18.75" x14ac:dyDescent="0.25">
      <c r="B69" s="48" t="s">
        <v>1</v>
      </c>
      <c r="C69" s="34">
        <f t="shared" ref="C69:AS69" si="0">SUM(C17:C68)</f>
        <v>100</v>
      </c>
      <c r="D69" s="34">
        <f t="shared" si="0"/>
        <v>50</v>
      </c>
      <c r="E69" s="34">
        <f t="shared" si="0"/>
        <v>50</v>
      </c>
      <c r="F69" s="34">
        <f t="shared" si="0"/>
        <v>0</v>
      </c>
      <c r="G69" s="34">
        <f t="shared" si="0"/>
        <v>250</v>
      </c>
      <c r="H69" s="34">
        <f t="shared" si="0"/>
        <v>50</v>
      </c>
      <c r="I69" s="34">
        <f t="shared" si="0"/>
        <v>50</v>
      </c>
      <c r="J69" s="34">
        <f t="shared" si="0"/>
        <v>0</v>
      </c>
      <c r="K69" s="34">
        <f t="shared" si="0"/>
        <v>50</v>
      </c>
      <c r="L69" s="34">
        <f t="shared" si="0"/>
        <v>50</v>
      </c>
      <c r="M69" s="34">
        <f t="shared" si="0"/>
        <v>50</v>
      </c>
      <c r="N69" s="34">
        <f t="shared" si="0"/>
        <v>0</v>
      </c>
      <c r="O69" s="34">
        <f t="shared" si="0"/>
        <v>50</v>
      </c>
      <c r="P69" s="34">
        <f t="shared" si="0"/>
        <v>50</v>
      </c>
      <c r="Q69" s="34">
        <f t="shared" si="0"/>
        <v>0</v>
      </c>
      <c r="R69" s="34">
        <f t="shared" si="0"/>
        <v>0</v>
      </c>
      <c r="S69" s="34">
        <f t="shared" si="0"/>
        <v>50</v>
      </c>
      <c r="T69" s="34">
        <f t="shared" si="0"/>
        <v>0</v>
      </c>
      <c r="U69" s="34">
        <f t="shared" si="0"/>
        <v>50</v>
      </c>
      <c r="V69" s="34">
        <f t="shared" si="0"/>
        <v>50</v>
      </c>
      <c r="W69" s="34">
        <f t="shared" si="0"/>
        <v>0</v>
      </c>
      <c r="X69" s="34">
        <f t="shared" si="0"/>
        <v>0</v>
      </c>
      <c r="Y69" s="34">
        <f t="shared" si="0"/>
        <v>0</v>
      </c>
      <c r="Z69" s="34">
        <f t="shared" si="0"/>
        <v>0</v>
      </c>
      <c r="AA69" s="34">
        <f t="shared" si="0"/>
        <v>0</v>
      </c>
      <c r="AB69" s="34">
        <f t="shared" si="0"/>
        <v>0</v>
      </c>
      <c r="AC69" s="34">
        <f t="shared" si="0"/>
        <v>50</v>
      </c>
      <c r="AD69" s="34">
        <f t="shared" si="0"/>
        <v>0</v>
      </c>
      <c r="AE69" s="34">
        <f t="shared" si="0"/>
        <v>0</v>
      </c>
      <c r="AF69" s="34">
        <f t="shared" si="0"/>
        <v>0</v>
      </c>
      <c r="AG69" s="34">
        <f t="shared" si="0"/>
        <v>0</v>
      </c>
      <c r="AH69" s="34">
        <f t="shared" si="0"/>
        <v>0</v>
      </c>
      <c r="AI69" s="34">
        <f t="shared" si="0"/>
        <v>0</v>
      </c>
      <c r="AJ69" s="34">
        <f t="shared" si="0"/>
        <v>0</v>
      </c>
      <c r="AK69" s="34">
        <f t="shared" si="0"/>
        <v>0</v>
      </c>
      <c r="AL69" s="34">
        <f t="shared" si="0"/>
        <v>0</v>
      </c>
      <c r="AM69" s="34">
        <f t="shared" si="0"/>
        <v>0</v>
      </c>
      <c r="AN69" s="34">
        <f t="shared" si="0"/>
        <v>50</v>
      </c>
      <c r="AO69" s="34">
        <f t="shared" si="0"/>
        <v>0</v>
      </c>
      <c r="AP69" s="34">
        <f t="shared" si="0"/>
        <v>0</v>
      </c>
      <c r="AQ69" s="34">
        <f t="shared" si="0"/>
        <v>1120</v>
      </c>
      <c r="AR69" s="34">
        <f t="shared" si="0"/>
        <v>0</v>
      </c>
      <c r="AS69" s="34">
        <f t="shared" si="0"/>
        <v>45</v>
      </c>
    </row>
    <row r="73" spans="1:45" ht="15.75" x14ac:dyDescent="0.25">
      <c r="B73" s="63" t="s">
        <v>291</v>
      </c>
      <c r="C73" s="64" t="s">
        <v>300</v>
      </c>
      <c r="I73" s="65"/>
      <c r="J73" s="65"/>
      <c r="K73" s="65"/>
      <c r="L73" s="65"/>
      <c r="M73" s="65"/>
      <c r="N73" s="65"/>
      <c r="O73" s="65"/>
      <c r="R73" s="66"/>
      <c r="S73" s="66"/>
      <c r="T73" s="66"/>
      <c r="U73" s="66"/>
      <c r="V73" s="66"/>
      <c r="W73" s="66"/>
      <c r="X73" s="66"/>
    </row>
    <row r="74" spans="1:45" ht="15.75" x14ac:dyDescent="0.25">
      <c r="C74"/>
      <c r="K74" s="67" t="s">
        <v>293</v>
      </c>
      <c r="U74" s="64" t="s">
        <v>292</v>
      </c>
    </row>
  </sheetData>
  <mergeCells count="7">
    <mergeCell ref="A10:AS10"/>
    <mergeCell ref="A11:AS11"/>
    <mergeCell ref="A14:A15"/>
    <mergeCell ref="B14:B15"/>
    <mergeCell ref="C14:AS14"/>
    <mergeCell ref="R12:S12"/>
    <mergeCell ref="T12:U12"/>
  </mergeCells>
  <conditionalFormatting sqref="A18:B18 AT18:XFD18 A20 A22 A24 A26 A28 A30 A32 A34 A36 A38 A40 A42 A44 A46 A48 A50 A52 A54 A56 A58 A60 A62 A64 A66 A68">
    <cfRule type="duplicateValues" dxfId="92" priority="3"/>
  </conditionalFormatting>
  <conditionalFormatting sqref="B1:B17 B19:B53 B55:B56 B58:B1048576">
    <cfRule type="duplicateValues" dxfId="91" priority="6"/>
  </conditionalFormatting>
  <conditionalFormatting sqref="B54 AT54:XFD54">
    <cfRule type="duplicateValues" dxfId="90" priority="2"/>
  </conditionalFormatting>
  <conditionalFormatting sqref="B57 AT57:XFD57">
    <cfRule type="duplicateValues" dxfId="89" priority="1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99389629810485"/>
    <pageSetUpPr fitToPage="1"/>
  </sheetPr>
  <dimension ref="A10:AS74"/>
  <sheetViews>
    <sheetView view="pageBreakPreview" topLeftCell="A41" zoomScale="115" zoomScaleSheetLayoutView="115" workbookViewId="0">
      <selection activeCell="B17" sqref="B17:B68"/>
    </sheetView>
  </sheetViews>
  <sheetFormatPr defaultRowHeight="15" x14ac:dyDescent="0.25"/>
  <cols>
    <col min="1" max="1" width="5.28515625" customWidth="1"/>
    <col min="2" max="2" width="45.140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295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 t="s">
        <v>288</v>
      </c>
      <c r="R12" s="112" t="str">
        <f>'Справочник-не смотрим!'!B1</f>
        <v>февраль</v>
      </c>
      <c r="S12" s="112"/>
      <c r="T12" s="112">
        <f>'Справочник-не смотрим!'!B2</f>
        <v>2026</v>
      </c>
      <c r="U12" s="112"/>
      <c r="V12" s="61" t="s">
        <v>289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87">
        <v>1</v>
      </c>
      <c r="B17" s="42" t="s">
        <v>188</v>
      </c>
      <c r="C17" s="75">
        <v>2</v>
      </c>
      <c r="D17" s="76">
        <v>1</v>
      </c>
      <c r="E17" s="76">
        <v>1</v>
      </c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>
        <v>1</v>
      </c>
      <c r="N17" s="76"/>
      <c r="O17" s="76"/>
      <c r="P17" s="76">
        <v>1</v>
      </c>
      <c r="Q17" s="76"/>
      <c r="R17" s="76"/>
      <c r="S17" s="76">
        <v>1</v>
      </c>
      <c r="T17" s="76"/>
      <c r="U17" s="76"/>
      <c r="V17" s="49"/>
      <c r="W17" s="49"/>
      <c r="X17" s="49"/>
      <c r="Y17" s="49"/>
      <c r="Z17" s="49"/>
      <c r="AA17" s="49"/>
      <c r="AB17" s="49"/>
      <c r="AC17" s="49">
        <v>1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>
        <v>10</v>
      </c>
      <c r="AR17" s="49"/>
      <c r="AS17" s="49">
        <v>1</v>
      </c>
    </row>
    <row r="18" spans="1:45" s="103" customFormat="1" x14ac:dyDescent="0.25">
      <c r="A18" s="87">
        <v>2</v>
      </c>
      <c r="B18" s="100" t="s">
        <v>360</v>
      </c>
      <c r="C18" s="101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>
        <v>10</v>
      </c>
      <c r="AR18" s="102"/>
      <c r="AS18" s="102">
        <v>1</v>
      </c>
    </row>
    <row r="19" spans="1:45" x14ac:dyDescent="0.25">
      <c r="A19" s="87">
        <v>3</v>
      </c>
      <c r="B19" s="100" t="s">
        <v>364</v>
      </c>
      <c r="C19" s="101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>
        <v>30</v>
      </c>
      <c r="AR19" s="102"/>
      <c r="AS19" s="102">
        <v>1</v>
      </c>
    </row>
    <row r="20" spans="1:45" x14ac:dyDescent="0.25">
      <c r="A20" s="87">
        <v>4</v>
      </c>
      <c r="B20" s="100" t="s">
        <v>347</v>
      </c>
      <c r="C20" s="101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>
        <v>30</v>
      </c>
      <c r="AR20" s="102"/>
      <c r="AS20" s="102">
        <v>1</v>
      </c>
    </row>
    <row r="21" spans="1:45" ht="15.75" x14ac:dyDescent="0.25">
      <c r="A21" s="87">
        <v>5</v>
      </c>
      <c r="B21" s="42" t="s">
        <v>153</v>
      </c>
      <c r="C21" s="75">
        <v>2</v>
      </c>
      <c r="D21" s="76">
        <v>1</v>
      </c>
      <c r="E21" s="76">
        <v>1</v>
      </c>
      <c r="F21" s="76"/>
      <c r="G21" s="76">
        <v>5</v>
      </c>
      <c r="H21" s="76">
        <v>1</v>
      </c>
      <c r="I21" s="76">
        <v>1</v>
      </c>
      <c r="J21" s="76"/>
      <c r="K21" s="76">
        <v>1</v>
      </c>
      <c r="L21" s="76">
        <v>1</v>
      </c>
      <c r="M21" s="76">
        <v>1</v>
      </c>
      <c r="N21" s="76"/>
      <c r="O21" s="76"/>
      <c r="P21" s="76">
        <v>1</v>
      </c>
      <c r="Q21" s="76"/>
      <c r="R21" s="76"/>
      <c r="S21" s="76">
        <v>1</v>
      </c>
      <c r="T21" s="76"/>
      <c r="U21" s="76"/>
      <c r="V21" s="49"/>
      <c r="W21" s="49"/>
      <c r="X21" s="49"/>
      <c r="Y21" s="49"/>
      <c r="Z21" s="49"/>
      <c r="AA21" s="49"/>
      <c r="AB21" s="49"/>
      <c r="AC21" s="49">
        <v>1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>
        <v>10</v>
      </c>
      <c r="AR21" s="49"/>
      <c r="AS21" s="49">
        <v>1</v>
      </c>
    </row>
    <row r="22" spans="1:45" ht="15.75" x14ac:dyDescent="0.25">
      <c r="A22" s="87">
        <v>6</v>
      </c>
      <c r="B22" s="42" t="s">
        <v>359</v>
      </c>
      <c r="C22" s="75">
        <v>2</v>
      </c>
      <c r="D22" s="76">
        <v>1</v>
      </c>
      <c r="E22" s="76">
        <v>1</v>
      </c>
      <c r="F22" s="76"/>
      <c r="G22" s="76">
        <v>5</v>
      </c>
      <c r="H22" s="76">
        <v>1</v>
      </c>
      <c r="I22" s="76">
        <v>1</v>
      </c>
      <c r="J22" s="76"/>
      <c r="K22" s="76">
        <v>1</v>
      </c>
      <c r="L22" s="76">
        <v>1</v>
      </c>
      <c r="M22" s="76">
        <v>1</v>
      </c>
      <c r="N22" s="76"/>
      <c r="O22" s="76"/>
      <c r="P22" s="76">
        <v>1</v>
      </c>
      <c r="Q22" s="76"/>
      <c r="R22" s="76"/>
      <c r="S22" s="76">
        <v>1</v>
      </c>
      <c r="T22" s="76"/>
      <c r="U22" s="76"/>
      <c r="V22" s="49"/>
      <c r="W22" s="49"/>
      <c r="X22" s="49"/>
      <c r="Y22" s="49"/>
      <c r="Z22" s="49"/>
      <c r="AA22" s="49"/>
      <c r="AB22" s="49"/>
      <c r="AC22" s="49">
        <v>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>
        <v>10</v>
      </c>
      <c r="AR22" s="49"/>
      <c r="AS22" s="49">
        <v>1</v>
      </c>
    </row>
    <row r="23" spans="1:45" ht="15.75" x14ac:dyDescent="0.25">
      <c r="A23" s="87">
        <v>7</v>
      </c>
      <c r="B23" s="42" t="s">
        <v>160</v>
      </c>
      <c r="C23" s="75">
        <v>2</v>
      </c>
      <c r="D23" s="76">
        <v>1</v>
      </c>
      <c r="E23" s="76">
        <v>1</v>
      </c>
      <c r="F23" s="76"/>
      <c r="G23" s="76">
        <v>5</v>
      </c>
      <c r="H23" s="76">
        <v>1</v>
      </c>
      <c r="I23" s="76">
        <v>1</v>
      </c>
      <c r="J23" s="76"/>
      <c r="K23" s="76">
        <v>1</v>
      </c>
      <c r="L23" s="76">
        <v>1</v>
      </c>
      <c r="M23" s="76">
        <v>1</v>
      </c>
      <c r="N23" s="76"/>
      <c r="O23" s="76"/>
      <c r="P23" s="76">
        <v>1</v>
      </c>
      <c r="Q23" s="76"/>
      <c r="R23" s="76"/>
      <c r="S23" s="76">
        <v>1</v>
      </c>
      <c r="T23" s="76"/>
      <c r="U23" s="76"/>
      <c r="V23" s="49"/>
      <c r="W23" s="49"/>
      <c r="X23" s="49"/>
      <c r="Y23" s="49"/>
      <c r="Z23" s="49"/>
      <c r="AA23" s="49"/>
      <c r="AB23" s="49"/>
      <c r="AC23" s="49">
        <v>1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>
        <v>10</v>
      </c>
      <c r="AR23" s="49"/>
      <c r="AS23" s="49">
        <v>1</v>
      </c>
    </row>
    <row r="24" spans="1:45" ht="15.75" x14ac:dyDescent="0.25">
      <c r="A24" s="87">
        <v>8</v>
      </c>
      <c r="B24" s="42" t="s">
        <v>400</v>
      </c>
      <c r="C24" s="75">
        <v>2</v>
      </c>
      <c r="D24" s="76">
        <v>1</v>
      </c>
      <c r="E24" s="76">
        <v>1</v>
      </c>
      <c r="F24" s="76"/>
      <c r="G24" s="76">
        <v>5</v>
      </c>
      <c r="H24" s="76">
        <v>1</v>
      </c>
      <c r="I24" s="76">
        <v>1</v>
      </c>
      <c r="J24" s="76"/>
      <c r="K24" s="76">
        <v>1</v>
      </c>
      <c r="L24" s="76">
        <v>1</v>
      </c>
      <c r="M24" s="76">
        <v>1</v>
      </c>
      <c r="N24" s="76"/>
      <c r="O24" s="76"/>
      <c r="P24" s="76">
        <v>1</v>
      </c>
      <c r="Q24" s="76"/>
      <c r="R24" s="76"/>
      <c r="S24" s="76">
        <v>1</v>
      </c>
      <c r="T24" s="76"/>
      <c r="U24" s="76"/>
      <c r="V24" s="49"/>
      <c r="W24" s="49"/>
      <c r="X24" s="49"/>
      <c r="Y24" s="49"/>
      <c r="Z24" s="49"/>
      <c r="AA24" s="49"/>
      <c r="AB24" s="49"/>
      <c r="AC24" s="49">
        <v>1</v>
      </c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>
        <v>10</v>
      </c>
      <c r="AR24" s="49"/>
      <c r="AS24" s="49">
        <v>1</v>
      </c>
    </row>
    <row r="25" spans="1:45" ht="15.75" x14ac:dyDescent="0.25">
      <c r="A25" s="87">
        <v>9</v>
      </c>
      <c r="B25" s="42" t="s">
        <v>340</v>
      </c>
      <c r="C25" s="75">
        <v>2</v>
      </c>
      <c r="D25" s="76">
        <v>1</v>
      </c>
      <c r="E25" s="76">
        <v>1</v>
      </c>
      <c r="F25" s="76"/>
      <c r="G25" s="76">
        <v>5</v>
      </c>
      <c r="H25" s="76">
        <v>1</v>
      </c>
      <c r="I25" s="76">
        <v>1</v>
      </c>
      <c r="J25" s="76"/>
      <c r="K25" s="76">
        <v>1</v>
      </c>
      <c r="L25" s="76">
        <v>1</v>
      </c>
      <c r="M25" s="76">
        <v>1</v>
      </c>
      <c r="N25" s="76"/>
      <c r="O25" s="76"/>
      <c r="P25" s="76">
        <v>1</v>
      </c>
      <c r="Q25" s="76"/>
      <c r="R25" s="76"/>
      <c r="S25" s="76">
        <v>1</v>
      </c>
      <c r="T25" s="76"/>
      <c r="U25" s="76"/>
      <c r="V25" s="49"/>
      <c r="W25" s="49"/>
      <c r="X25" s="49"/>
      <c r="Y25" s="49"/>
      <c r="Z25" s="49"/>
      <c r="AA25" s="49"/>
      <c r="AB25" s="49"/>
      <c r="AC25" s="49">
        <v>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>
        <v>10</v>
      </c>
      <c r="AR25" s="49"/>
      <c r="AS25" s="49">
        <v>1</v>
      </c>
    </row>
    <row r="26" spans="1:45" ht="15.75" x14ac:dyDescent="0.25">
      <c r="A26" s="87">
        <v>10</v>
      </c>
      <c r="B26" s="42" t="s">
        <v>415</v>
      </c>
      <c r="C26" s="75">
        <v>2</v>
      </c>
      <c r="D26" s="76">
        <v>1</v>
      </c>
      <c r="E26" s="76">
        <v>1</v>
      </c>
      <c r="F26" s="76"/>
      <c r="G26" s="76">
        <v>5</v>
      </c>
      <c r="H26" s="76">
        <v>1</v>
      </c>
      <c r="I26" s="76">
        <v>1</v>
      </c>
      <c r="J26" s="76"/>
      <c r="K26" s="76">
        <v>1</v>
      </c>
      <c r="L26" s="76">
        <v>1</v>
      </c>
      <c r="M26" s="76">
        <v>1</v>
      </c>
      <c r="N26" s="76"/>
      <c r="O26" s="76"/>
      <c r="P26" s="76">
        <v>1</v>
      </c>
      <c r="Q26" s="76"/>
      <c r="R26" s="76"/>
      <c r="S26" s="76">
        <v>1</v>
      </c>
      <c r="T26" s="76"/>
      <c r="U26" s="76"/>
      <c r="V26" s="49"/>
      <c r="W26" s="49"/>
      <c r="X26" s="49"/>
      <c r="Y26" s="49"/>
      <c r="Z26" s="49"/>
      <c r="AA26" s="49"/>
      <c r="AB26" s="49"/>
      <c r="AC26" s="49">
        <v>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>
        <v>10</v>
      </c>
      <c r="AR26" s="49"/>
      <c r="AS26" s="49">
        <v>1</v>
      </c>
    </row>
    <row r="27" spans="1:45" ht="15.75" x14ac:dyDescent="0.25">
      <c r="A27" s="87">
        <v>11</v>
      </c>
      <c r="B27" s="42" t="s">
        <v>417</v>
      </c>
      <c r="C27" s="75">
        <v>2</v>
      </c>
      <c r="D27" s="76">
        <v>1</v>
      </c>
      <c r="E27" s="76">
        <v>1</v>
      </c>
      <c r="F27" s="76"/>
      <c r="G27" s="76">
        <v>5</v>
      </c>
      <c r="H27" s="76">
        <v>1</v>
      </c>
      <c r="I27" s="76">
        <v>1</v>
      </c>
      <c r="J27" s="76"/>
      <c r="K27" s="76">
        <v>1</v>
      </c>
      <c r="L27" s="76">
        <v>1</v>
      </c>
      <c r="M27" s="76">
        <v>1</v>
      </c>
      <c r="N27" s="76"/>
      <c r="O27" s="76"/>
      <c r="P27" s="76">
        <v>1</v>
      </c>
      <c r="Q27" s="76"/>
      <c r="R27" s="76"/>
      <c r="S27" s="76">
        <v>1</v>
      </c>
      <c r="T27" s="76"/>
      <c r="U27" s="76"/>
      <c r="V27" s="49"/>
      <c r="W27" s="49"/>
      <c r="X27" s="49"/>
      <c r="Y27" s="49"/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>
        <v>10</v>
      </c>
      <c r="AR27" s="49"/>
      <c r="AS27" s="49">
        <v>1</v>
      </c>
    </row>
    <row r="28" spans="1:45" ht="15.75" x14ac:dyDescent="0.25">
      <c r="A28" s="87">
        <v>12</v>
      </c>
      <c r="B28" s="42" t="s">
        <v>418</v>
      </c>
      <c r="C28" s="75">
        <v>2</v>
      </c>
      <c r="D28" s="76">
        <v>1</v>
      </c>
      <c r="E28" s="76">
        <v>1</v>
      </c>
      <c r="F28" s="76"/>
      <c r="G28" s="76">
        <v>5</v>
      </c>
      <c r="H28" s="76">
        <v>1</v>
      </c>
      <c r="I28" s="76">
        <v>1</v>
      </c>
      <c r="J28" s="76"/>
      <c r="K28" s="76">
        <v>1</v>
      </c>
      <c r="L28" s="76">
        <v>1</v>
      </c>
      <c r="M28" s="76">
        <v>1</v>
      </c>
      <c r="N28" s="76"/>
      <c r="O28" s="76"/>
      <c r="P28" s="76">
        <v>1</v>
      </c>
      <c r="Q28" s="76"/>
      <c r="R28" s="76"/>
      <c r="S28" s="76">
        <v>1</v>
      </c>
      <c r="T28" s="76"/>
      <c r="U28" s="76"/>
      <c r="V28" s="49"/>
      <c r="W28" s="49"/>
      <c r="X28" s="49"/>
      <c r="Y28" s="49"/>
      <c r="Z28" s="49"/>
      <c r="AA28" s="49"/>
      <c r="AB28" s="49"/>
      <c r="AC28" s="49">
        <v>1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>
        <v>10</v>
      </c>
      <c r="AR28" s="49"/>
      <c r="AS28" s="49">
        <v>1</v>
      </c>
    </row>
    <row r="29" spans="1:45" ht="15.75" x14ac:dyDescent="0.25">
      <c r="A29" s="87">
        <v>13</v>
      </c>
      <c r="B29" s="42" t="s">
        <v>444</v>
      </c>
      <c r="C29" s="75">
        <v>2</v>
      </c>
      <c r="D29" s="76">
        <v>1</v>
      </c>
      <c r="E29" s="76">
        <v>1</v>
      </c>
      <c r="F29" s="76"/>
      <c r="G29" s="76">
        <v>5</v>
      </c>
      <c r="H29" s="76">
        <v>1</v>
      </c>
      <c r="I29" s="76">
        <v>1</v>
      </c>
      <c r="J29" s="76"/>
      <c r="K29" s="76">
        <v>1</v>
      </c>
      <c r="L29" s="76">
        <v>1</v>
      </c>
      <c r="M29" s="76">
        <v>1</v>
      </c>
      <c r="N29" s="76"/>
      <c r="O29" s="76"/>
      <c r="P29" s="76">
        <v>1</v>
      </c>
      <c r="Q29" s="76"/>
      <c r="R29" s="76"/>
      <c r="S29" s="76">
        <v>1</v>
      </c>
      <c r="T29" s="76"/>
      <c r="U29" s="76"/>
      <c r="V29" s="49"/>
      <c r="W29" s="49"/>
      <c r="X29" s="49"/>
      <c r="Y29" s="49"/>
      <c r="Z29" s="49"/>
      <c r="AA29" s="49"/>
      <c r="AB29" s="49"/>
      <c r="AC29" s="49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>
        <v>10</v>
      </c>
      <c r="AR29" s="49"/>
      <c r="AS29" s="49">
        <v>1</v>
      </c>
    </row>
    <row r="30" spans="1:45" ht="15.75" x14ac:dyDescent="0.25">
      <c r="A30" s="87">
        <v>14</v>
      </c>
      <c r="B30" s="42" t="s">
        <v>446</v>
      </c>
      <c r="C30" s="75">
        <v>2</v>
      </c>
      <c r="D30" s="76">
        <v>1</v>
      </c>
      <c r="E30" s="76">
        <v>1</v>
      </c>
      <c r="F30" s="76"/>
      <c r="G30" s="76">
        <v>5</v>
      </c>
      <c r="H30" s="76">
        <v>1</v>
      </c>
      <c r="I30" s="76">
        <v>1</v>
      </c>
      <c r="J30" s="76"/>
      <c r="K30" s="76">
        <v>1</v>
      </c>
      <c r="L30" s="76">
        <v>1</v>
      </c>
      <c r="M30" s="76">
        <v>1</v>
      </c>
      <c r="N30" s="76"/>
      <c r="O30" s="76"/>
      <c r="P30" s="76">
        <v>1</v>
      </c>
      <c r="Q30" s="76"/>
      <c r="R30" s="76"/>
      <c r="S30" s="76">
        <v>1</v>
      </c>
      <c r="T30" s="76"/>
      <c r="U30" s="76"/>
      <c r="V30" s="49"/>
      <c r="W30" s="49"/>
      <c r="X30" s="49"/>
      <c r="Y30" s="49"/>
      <c r="Z30" s="49"/>
      <c r="AA30" s="49"/>
      <c r="AB30" s="49"/>
      <c r="AC30" s="49">
        <v>1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>
        <v>10</v>
      </c>
      <c r="AR30" s="49"/>
      <c r="AS30" s="49">
        <v>1</v>
      </c>
    </row>
    <row r="31" spans="1:45" ht="15.75" x14ac:dyDescent="0.25">
      <c r="A31" s="87">
        <v>15</v>
      </c>
      <c r="B31" s="42" t="s">
        <v>448</v>
      </c>
      <c r="C31" s="75">
        <v>2</v>
      </c>
      <c r="D31" s="76">
        <v>1</v>
      </c>
      <c r="E31" s="76">
        <v>1</v>
      </c>
      <c r="F31" s="76"/>
      <c r="G31" s="76">
        <v>5</v>
      </c>
      <c r="H31" s="76">
        <v>1</v>
      </c>
      <c r="I31" s="76">
        <v>1</v>
      </c>
      <c r="J31" s="76"/>
      <c r="K31" s="76">
        <v>1</v>
      </c>
      <c r="L31" s="76">
        <v>1</v>
      </c>
      <c r="M31" s="76">
        <v>1</v>
      </c>
      <c r="N31" s="76"/>
      <c r="O31" s="76"/>
      <c r="P31" s="76">
        <v>1</v>
      </c>
      <c r="Q31" s="76"/>
      <c r="R31" s="76"/>
      <c r="S31" s="76">
        <v>1</v>
      </c>
      <c r="T31" s="76"/>
      <c r="U31" s="76"/>
      <c r="V31" s="49"/>
      <c r="W31" s="49"/>
      <c r="X31" s="49"/>
      <c r="Y31" s="49"/>
      <c r="Z31" s="49"/>
      <c r="AA31" s="49"/>
      <c r="AB31" s="49"/>
      <c r="AC31" s="49">
        <v>1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>
        <v>10</v>
      </c>
      <c r="AR31" s="49"/>
      <c r="AS31" s="49">
        <v>1</v>
      </c>
    </row>
    <row r="32" spans="1:45" ht="15.75" x14ac:dyDescent="0.25">
      <c r="A32" s="87">
        <v>16</v>
      </c>
      <c r="B32" s="42" t="s">
        <v>447</v>
      </c>
      <c r="C32" s="75">
        <v>2</v>
      </c>
      <c r="D32" s="76">
        <v>1</v>
      </c>
      <c r="E32" s="76">
        <v>1</v>
      </c>
      <c r="F32" s="76"/>
      <c r="G32" s="76">
        <v>5</v>
      </c>
      <c r="H32" s="76">
        <v>1</v>
      </c>
      <c r="I32" s="76">
        <v>1</v>
      </c>
      <c r="J32" s="76"/>
      <c r="K32" s="76">
        <v>1</v>
      </c>
      <c r="L32" s="76">
        <v>1</v>
      </c>
      <c r="M32" s="76">
        <v>1</v>
      </c>
      <c r="N32" s="76"/>
      <c r="O32" s="76"/>
      <c r="P32" s="76">
        <v>1</v>
      </c>
      <c r="Q32" s="76"/>
      <c r="R32" s="76"/>
      <c r="S32" s="76">
        <v>1</v>
      </c>
      <c r="T32" s="76"/>
      <c r="U32" s="76"/>
      <c r="V32" s="49"/>
      <c r="W32" s="49"/>
      <c r="X32" s="49"/>
      <c r="Y32" s="49"/>
      <c r="Z32" s="49"/>
      <c r="AA32" s="49"/>
      <c r="AB32" s="49"/>
      <c r="AC32" s="49">
        <v>1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>
        <v>10</v>
      </c>
      <c r="AR32" s="49"/>
      <c r="AS32" s="49">
        <v>1</v>
      </c>
    </row>
    <row r="33" spans="1:45" ht="15.75" x14ac:dyDescent="0.25">
      <c r="A33" s="87">
        <v>17</v>
      </c>
      <c r="B33" s="42" t="s">
        <v>450</v>
      </c>
      <c r="C33" s="75">
        <v>2</v>
      </c>
      <c r="D33" s="76">
        <v>1</v>
      </c>
      <c r="E33" s="76">
        <v>1</v>
      </c>
      <c r="F33" s="76"/>
      <c r="G33" s="76">
        <v>5</v>
      </c>
      <c r="H33" s="76">
        <v>1</v>
      </c>
      <c r="I33" s="76">
        <v>1</v>
      </c>
      <c r="J33" s="76"/>
      <c r="K33" s="76">
        <v>1</v>
      </c>
      <c r="L33" s="76">
        <v>1</v>
      </c>
      <c r="M33" s="76">
        <v>1</v>
      </c>
      <c r="N33" s="76"/>
      <c r="O33" s="76"/>
      <c r="P33" s="76">
        <v>1</v>
      </c>
      <c r="Q33" s="76"/>
      <c r="R33" s="76"/>
      <c r="S33" s="76">
        <v>1</v>
      </c>
      <c r="T33" s="76"/>
      <c r="U33" s="76"/>
      <c r="V33" s="49"/>
      <c r="W33" s="49"/>
      <c r="X33" s="49"/>
      <c r="Y33" s="49"/>
      <c r="Z33" s="49"/>
      <c r="AA33" s="49"/>
      <c r="AB33" s="49"/>
      <c r="AC33" s="49">
        <v>1</v>
      </c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>
        <v>10</v>
      </c>
      <c r="AR33" s="49"/>
      <c r="AS33" s="49">
        <v>1</v>
      </c>
    </row>
    <row r="34" spans="1:45" ht="15.75" x14ac:dyDescent="0.25">
      <c r="A34" s="87">
        <v>18</v>
      </c>
      <c r="B34" s="42" t="s">
        <v>453</v>
      </c>
      <c r="C34" s="75">
        <v>2</v>
      </c>
      <c r="D34" s="76">
        <v>1</v>
      </c>
      <c r="E34" s="76">
        <v>1</v>
      </c>
      <c r="F34" s="76"/>
      <c r="G34" s="76">
        <v>5</v>
      </c>
      <c r="H34" s="76">
        <v>1</v>
      </c>
      <c r="I34" s="76">
        <v>1</v>
      </c>
      <c r="J34" s="76"/>
      <c r="K34" s="76">
        <v>1</v>
      </c>
      <c r="L34" s="76">
        <v>1</v>
      </c>
      <c r="M34" s="76">
        <v>1</v>
      </c>
      <c r="N34" s="76"/>
      <c r="O34" s="76"/>
      <c r="P34" s="76">
        <v>1</v>
      </c>
      <c r="Q34" s="76"/>
      <c r="R34" s="76"/>
      <c r="S34" s="76">
        <v>1</v>
      </c>
      <c r="T34" s="76"/>
      <c r="U34" s="76"/>
      <c r="V34" s="49"/>
      <c r="W34" s="49"/>
      <c r="X34" s="49"/>
      <c r="Y34" s="49"/>
      <c r="Z34" s="49"/>
      <c r="AA34" s="49"/>
      <c r="AB34" s="49"/>
      <c r="AC34" s="49">
        <v>1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>
        <v>10</v>
      </c>
      <c r="AR34" s="49"/>
      <c r="AS34" s="49">
        <v>1</v>
      </c>
    </row>
    <row r="35" spans="1:45" ht="15.75" x14ac:dyDescent="0.25">
      <c r="A35" s="87">
        <v>19</v>
      </c>
      <c r="B35" s="42" t="s">
        <v>455</v>
      </c>
      <c r="C35" s="75">
        <v>2</v>
      </c>
      <c r="D35" s="76">
        <v>1</v>
      </c>
      <c r="E35" s="76">
        <v>1</v>
      </c>
      <c r="F35" s="76"/>
      <c r="G35" s="76">
        <v>5</v>
      </c>
      <c r="H35" s="76">
        <v>1</v>
      </c>
      <c r="I35" s="76">
        <v>1</v>
      </c>
      <c r="J35" s="76"/>
      <c r="K35" s="76">
        <v>1</v>
      </c>
      <c r="L35" s="76">
        <v>1</v>
      </c>
      <c r="M35" s="76">
        <v>1</v>
      </c>
      <c r="N35" s="76"/>
      <c r="O35" s="76"/>
      <c r="P35" s="76">
        <v>1</v>
      </c>
      <c r="Q35" s="76"/>
      <c r="R35" s="76"/>
      <c r="S35" s="76">
        <v>1</v>
      </c>
      <c r="T35" s="76"/>
      <c r="U35" s="76"/>
      <c r="V35" s="49"/>
      <c r="W35" s="49"/>
      <c r="X35" s="49"/>
      <c r="Y35" s="49"/>
      <c r="Z35" s="49"/>
      <c r="AA35" s="49"/>
      <c r="AB35" s="49"/>
      <c r="AC35" s="49">
        <v>1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>
        <v>10</v>
      </c>
      <c r="AR35" s="49"/>
      <c r="AS35" s="49">
        <v>1</v>
      </c>
    </row>
    <row r="36" spans="1:45" ht="15.75" x14ac:dyDescent="0.25">
      <c r="A36" s="87">
        <v>20</v>
      </c>
      <c r="B36" s="42" t="s">
        <v>456</v>
      </c>
      <c r="C36" s="75">
        <v>2</v>
      </c>
      <c r="D36" s="76">
        <v>1</v>
      </c>
      <c r="E36" s="76">
        <v>1</v>
      </c>
      <c r="F36" s="76"/>
      <c r="G36" s="76">
        <v>5</v>
      </c>
      <c r="H36" s="76">
        <v>1</v>
      </c>
      <c r="I36" s="76">
        <v>1</v>
      </c>
      <c r="J36" s="76"/>
      <c r="K36" s="76">
        <v>1</v>
      </c>
      <c r="L36" s="76">
        <v>1</v>
      </c>
      <c r="M36" s="76">
        <v>1</v>
      </c>
      <c r="N36" s="76"/>
      <c r="O36" s="76"/>
      <c r="P36" s="76">
        <v>1</v>
      </c>
      <c r="Q36" s="76"/>
      <c r="R36" s="76"/>
      <c r="S36" s="76">
        <v>1</v>
      </c>
      <c r="T36" s="76"/>
      <c r="U36" s="76"/>
      <c r="V36" s="49"/>
      <c r="W36" s="49"/>
      <c r="X36" s="49"/>
      <c r="Y36" s="49"/>
      <c r="Z36" s="49"/>
      <c r="AA36" s="49"/>
      <c r="AB36" s="49"/>
      <c r="AC36" s="49">
        <v>1</v>
      </c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>
        <v>10</v>
      </c>
      <c r="AR36" s="49"/>
      <c r="AS36" s="49">
        <v>1</v>
      </c>
    </row>
    <row r="37" spans="1:45" ht="15.75" x14ac:dyDescent="0.25">
      <c r="A37" s="87">
        <v>21</v>
      </c>
      <c r="B37" s="42" t="s">
        <v>457</v>
      </c>
      <c r="C37" s="75">
        <v>2</v>
      </c>
      <c r="D37" s="76">
        <v>1</v>
      </c>
      <c r="E37" s="76">
        <v>1</v>
      </c>
      <c r="F37" s="76"/>
      <c r="G37" s="76">
        <v>5</v>
      </c>
      <c r="H37" s="76">
        <v>1</v>
      </c>
      <c r="I37" s="76">
        <v>1</v>
      </c>
      <c r="J37" s="76"/>
      <c r="K37" s="76">
        <v>1</v>
      </c>
      <c r="L37" s="76">
        <v>1</v>
      </c>
      <c r="M37" s="76">
        <v>1</v>
      </c>
      <c r="N37" s="76"/>
      <c r="O37" s="76"/>
      <c r="P37" s="76">
        <v>1</v>
      </c>
      <c r="Q37" s="76"/>
      <c r="R37" s="76"/>
      <c r="S37" s="76">
        <v>1</v>
      </c>
      <c r="T37" s="76"/>
      <c r="U37" s="76"/>
      <c r="V37" s="49"/>
      <c r="W37" s="49"/>
      <c r="X37" s="49"/>
      <c r="Y37" s="49"/>
      <c r="Z37" s="49"/>
      <c r="AA37" s="49"/>
      <c r="AB37" s="49"/>
      <c r="AC37" s="49">
        <v>1</v>
      </c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>
        <v>10</v>
      </c>
      <c r="AR37" s="49"/>
      <c r="AS37" s="49">
        <v>1</v>
      </c>
    </row>
    <row r="38" spans="1:45" ht="15.75" x14ac:dyDescent="0.25">
      <c r="A38" s="87">
        <v>22</v>
      </c>
      <c r="B38" s="42" t="s">
        <v>454</v>
      </c>
      <c r="C38" s="75">
        <v>2</v>
      </c>
      <c r="D38" s="76">
        <v>1</v>
      </c>
      <c r="E38" s="76">
        <v>1</v>
      </c>
      <c r="F38" s="76"/>
      <c r="G38" s="76">
        <v>5</v>
      </c>
      <c r="H38" s="76">
        <v>1</v>
      </c>
      <c r="I38" s="76">
        <v>1</v>
      </c>
      <c r="J38" s="76"/>
      <c r="K38" s="76">
        <v>1</v>
      </c>
      <c r="L38" s="76">
        <v>1</v>
      </c>
      <c r="M38" s="76">
        <v>1</v>
      </c>
      <c r="N38" s="76"/>
      <c r="O38" s="76"/>
      <c r="P38" s="76">
        <v>1</v>
      </c>
      <c r="Q38" s="76"/>
      <c r="R38" s="76"/>
      <c r="S38" s="76">
        <v>1</v>
      </c>
      <c r="T38" s="76"/>
      <c r="U38" s="76"/>
      <c r="V38" s="49"/>
      <c r="W38" s="49"/>
      <c r="X38" s="49"/>
      <c r="Y38" s="49"/>
      <c r="Z38" s="49"/>
      <c r="AA38" s="49"/>
      <c r="AB38" s="49"/>
      <c r="AC38" s="49">
        <v>1</v>
      </c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>
        <v>10</v>
      </c>
      <c r="AR38" s="49"/>
      <c r="AS38" s="49">
        <v>1</v>
      </c>
    </row>
    <row r="39" spans="1:45" ht="15.75" x14ac:dyDescent="0.25">
      <c r="A39" s="87">
        <v>23</v>
      </c>
      <c r="B39" s="42" t="s">
        <v>452</v>
      </c>
      <c r="C39" s="75">
        <v>2</v>
      </c>
      <c r="D39" s="76">
        <v>1</v>
      </c>
      <c r="E39" s="76">
        <v>1</v>
      </c>
      <c r="F39" s="76"/>
      <c r="G39" s="76">
        <v>5</v>
      </c>
      <c r="H39" s="76">
        <v>1</v>
      </c>
      <c r="I39" s="76">
        <v>1</v>
      </c>
      <c r="J39" s="76"/>
      <c r="K39" s="76">
        <v>1</v>
      </c>
      <c r="L39" s="76">
        <v>1</v>
      </c>
      <c r="M39" s="76">
        <v>1</v>
      </c>
      <c r="N39" s="76"/>
      <c r="O39" s="76"/>
      <c r="P39" s="76">
        <v>1</v>
      </c>
      <c r="Q39" s="76"/>
      <c r="R39" s="76"/>
      <c r="S39" s="76">
        <v>1</v>
      </c>
      <c r="T39" s="76"/>
      <c r="U39" s="76"/>
      <c r="V39" s="49"/>
      <c r="W39" s="49"/>
      <c r="X39" s="49"/>
      <c r="Y39" s="49"/>
      <c r="Z39" s="49"/>
      <c r="AA39" s="49"/>
      <c r="AB39" s="49"/>
      <c r="AC39" s="49">
        <v>1</v>
      </c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>
        <v>10</v>
      </c>
      <c r="AR39" s="49"/>
      <c r="AS39" s="49">
        <v>1</v>
      </c>
    </row>
    <row r="40" spans="1:45" ht="15.75" x14ac:dyDescent="0.25">
      <c r="A40" s="87">
        <v>24</v>
      </c>
      <c r="B40" s="42" t="s">
        <v>451</v>
      </c>
      <c r="C40" s="75">
        <v>2</v>
      </c>
      <c r="D40" s="76">
        <v>1</v>
      </c>
      <c r="E40" s="76">
        <v>1</v>
      </c>
      <c r="F40" s="76"/>
      <c r="G40" s="76">
        <v>5</v>
      </c>
      <c r="H40" s="76">
        <v>1</v>
      </c>
      <c r="I40" s="76">
        <v>1</v>
      </c>
      <c r="J40" s="76"/>
      <c r="K40" s="76">
        <v>1</v>
      </c>
      <c r="L40" s="76">
        <v>1</v>
      </c>
      <c r="M40" s="76">
        <v>1</v>
      </c>
      <c r="N40" s="76"/>
      <c r="O40" s="76"/>
      <c r="P40" s="76">
        <v>1</v>
      </c>
      <c r="Q40" s="76"/>
      <c r="R40" s="76"/>
      <c r="S40" s="76">
        <v>1</v>
      </c>
      <c r="T40" s="76"/>
      <c r="U40" s="76"/>
      <c r="V40" s="49"/>
      <c r="W40" s="49"/>
      <c r="X40" s="49"/>
      <c r="Y40" s="49"/>
      <c r="Z40" s="49"/>
      <c r="AA40" s="49"/>
      <c r="AB40" s="49"/>
      <c r="AC40" s="49">
        <v>1</v>
      </c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>
        <v>10</v>
      </c>
      <c r="AR40" s="49"/>
      <c r="AS40" s="49">
        <v>1</v>
      </c>
    </row>
    <row r="41" spans="1:45" ht="15.75" x14ac:dyDescent="0.25">
      <c r="A41" s="87">
        <v>25</v>
      </c>
      <c r="B41" s="42" t="s">
        <v>449</v>
      </c>
      <c r="C41" s="75">
        <v>2</v>
      </c>
      <c r="D41" s="76">
        <v>1</v>
      </c>
      <c r="E41" s="76">
        <v>1</v>
      </c>
      <c r="F41" s="76"/>
      <c r="G41" s="76">
        <v>5</v>
      </c>
      <c r="H41" s="76">
        <v>1</v>
      </c>
      <c r="I41" s="76">
        <v>1</v>
      </c>
      <c r="J41" s="76"/>
      <c r="K41" s="76">
        <v>1</v>
      </c>
      <c r="L41" s="76">
        <v>1</v>
      </c>
      <c r="M41" s="76">
        <v>1</v>
      </c>
      <c r="N41" s="76"/>
      <c r="O41" s="76"/>
      <c r="P41" s="76">
        <v>1</v>
      </c>
      <c r="Q41" s="76"/>
      <c r="R41" s="76"/>
      <c r="S41" s="76">
        <v>1</v>
      </c>
      <c r="T41" s="76"/>
      <c r="U41" s="76"/>
      <c r="V41" s="49"/>
      <c r="W41" s="49"/>
      <c r="X41" s="49"/>
      <c r="Y41" s="49"/>
      <c r="Z41" s="49"/>
      <c r="AA41" s="49"/>
      <c r="AB41" s="49"/>
      <c r="AC41" s="49">
        <v>1</v>
      </c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>
        <v>10</v>
      </c>
      <c r="AR41" s="49"/>
      <c r="AS41" s="49">
        <v>1</v>
      </c>
    </row>
    <row r="42" spans="1:45" ht="15.75" x14ac:dyDescent="0.25">
      <c r="A42" s="87">
        <v>26</v>
      </c>
      <c r="B42" s="42" t="s">
        <v>445</v>
      </c>
      <c r="C42" s="75">
        <v>2</v>
      </c>
      <c r="D42" s="76">
        <v>1</v>
      </c>
      <c r="E42" s="76">
        <v>1</v>
      </c>
      <c r="F42" s="76"/>
      <c r="G42" s="76">
        <v>5</v>
      </c>
      <c r="H42" s="76">
        <v>1</v>
      </c>
      <c r="I42" s="76">
        <v>1</v>
      </c>
      <c r="J42" s="76"/>
      <c r="K42" s="76">
        <v>1</v>
      </c>
      <c r="L42" s="76">
        <v>1</v>
      </c>
      <c r="M42" s="76">
        <v>1</v>
      </c>
      <c r="N42" s="76"/>
      <c r="O42" s="76"/>
      <c r="P42" s="76">
        <v>1</v>
      </c>
      <c r="Q42" s="76"/>
      <c r="R42" s="76"/>
      <c r="S42" s="76">
        <v>1</v>
      </c>
      <c r="T42" s="76"/>
      <c r="U42" s="76"/>
      <c r="V42" s="49"/>
      <c r="W42" s="49"/>
      <c r="X42" s="49"/>
      <c r="Y42" s="49"/>
      <c r="Z42" s="49"/>
      <c r="AA42" s="49"/>
      <c r="AB42" s="49"/>
      <c r="AC42" s="49">
        <v>1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>
        <v>10</v>
      </c>
      <c r="AR42" s="49"/>
      <c r="AS42" s="49">
        <v>1</v>
      </c>
    </row>
    <row r="43" spans="1:45" ht="15.75" x14ac:dyDescent="0.25">
      <c r="A43" s="87">
        <v>27</v>
      </c>
      <c r="B43" s="42" t="s">
        <v>434</v>
      </c>
      <c r="C43" s="75">
        <v>2</v>
      </c>
      <c r="D43" s="76">
        <v>1</v>
      </c>
      <c r="E43" s="76">
        <v>1</v>
      </c>
      <c r="F43" s="76"/>
      <c r="G43" s="76">
        <v>5</v>
      </c>
      <c r="H43" s="76">
        <v>1</v>
      </c>
      <c r="I43" s="76">
        <v>1</v>
      </c>
      <c r="J43" s="76"/>
      <c r="K43" s="76">
        <v>1</v>
      </c>
      <c r="L43" s="76">
        <v>1</v>
      </c>
      <c r="M43" s="76">
        <v>1</v>
      </c>
      <c r="N43" s="76"/>
      <c r="O43" s="76"/>
      <c r="P43" s="76">
        <v>1</v>
      </c>
      <c r="Q43" s="76"/>
      <c r="R43" s="76"/>
      <c r="S43" s="76">
        <v>1</v>
      </c>
      <c r="T43" s="76"/>
      <c r="U43" s="76"/>
      <c r="V43" s="49"/>
      <c r="W43" s="49"/>
      <c r="X43" s="49"/>
      <c r="Y43" s="49"/>
      <c r="Z43" s="49"/>
      <c r="AA43" s="49"/>
      <c r="AB43" s="49"/>
      <c r="AC43" s="49">
        <v>1</v>
      </c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>
        <v>10</v>
      </c>
      <c r="AR43" s="49"/>
      <c r="AS43" s="49">
        <v>1</v>
      </c>
    </row>
    <row r="44" spans="1:45" ht="15.75" x14ac:dyDescent="0.25">
      <c r="A44" s="87">
        <v>28</v>
      </c>
      <c r="B44" s="42" t="s">
        <v>416</v>
      </c>
      <c r="C44" s="75">
        <v>2</v>
      </c>
      <c r="D44" s="76">
        <v>1</v>
      </c>
      <c r="E44" s="76">
        <v>1</v>
      </c>
      <c r="F44" s="76"/>
      <c r="G44" s="76">
        <v>5</v>
      </c>
      <c r="H44" s="76">
        <v>1</v>
      </c>
      <c r="I44" s="76">
        <v>1</v>
      </c>
      <c r="J44" s="76"/>
      <c r="K44" s="76">
        <v>1</v>
      </c>
      <c r="L44" s="76">
        <v>1</v>
      </c>
      <c r="M44" s="76">
        <v>1</v>
      </c>
      <c r="N44" s="76"/>
      <c r="O44" s="76"/>
      <c r="P44" s="76">
        <v>1</v>
      </c>
      <c r="Q44" s="76"/>
      <c r="R44" s="76"/>
      <c r="S44" s="76">
        <v>1</v>
      </c>
      <c r="T44" s="76"/>
      <c r="U44" s="76"/>
      <c r="V44" s="49"/>
      <c r="W44" s="49"/>
      <c r="X44" s="49"/>
      <c r="Y44" s="49"/>
      <c r="Z44" s="49"/>
      <c r="AA44" s="49"/>
      <c r="AB44" s="49"/>
      <c r="AC44" s="49">
        <v>1</v>
      </c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>
        <v>10</v>
      </c>
      <c r="AR44" s="49"/>
      <c r="AS44" s="49">
        <v>1</v>
      </c>
    </row>
    <row r="45" spans="1:45" ht="15.75" x14ac:dyDescent="0.25">
      <c r="A45" s="87">
        <v>29</v>
      </c>
      <c r="B45" s="42" t="s">
        <v>442</v>
      </c>
      <c r="C45" s="75">
        <v>2</v>
      </c>
      <c r="D45" s="76">
        <v>1</v>
      </c>
      <c r="E45" s="76">
        <v>1</v>
      </c>
      <c r="F45" s="76"/>
      <c r="G45" s="76">
        <v>5</v>
      </c>
      <c r="H45" s="76">
        <v>1</v>
      </c>
      <c r="I45" s="76">
        <v>1</v>
      </c>
      <c r="J45" s="76"/>
      <c r="K45" s="76">
        <v>1</v>
      </c>
      <c r="L45" s="76">
        <v>1</v>
      </c>
      <c r="M45" s="76">
        <v>1</v>
      </c>
      <c r="N45" s="76"/>
      <c r="O45" s="76"/>
      <c r="P45" s="76">
        <v>1</v>
      </c>
      <c r="Q45" s="76"/>
      <c r="R45" s="76"/>
      <c r="S45" s="76">
        <v>1</v>
      </c>
      <c r="T45" s="76"/>
      <c r="U45" s="76"/>
      <c r="V45" s="49"/>
      <c r="W45" s="49"/>
      <c r="X45" s="49"/>
      <c r="Y45" s="49"/>
      <c r="Z45" s="49"/>
      <c r="AA45" s="49"/>
      <c r="AB45" s="49"/>
      <c r="AC45" s="49">
        <v>1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>
        <v>10</v>
      </c>
      <c r="AR45" s="49"/>
      <c r="AS45" s="49">
        <v>1</v>
      </c>
    </row>
    <row r="46" spans="1:45" ht="15.75" x14ac:dyDescent="0.25">
      <c r="A46" s="87">
        <v>30</v>
      </c>
      <c r="B46" s="42" t="s">
        <v>335</v>
      </c>
      <c r="C46" s="75">
        <v>2</v>
      </c>
      <c r="D46" s="76">
        <v>1</v>
      </c>
      <c r="E46" s="76">
        <v>1</v>
      </c>
      <c r="F46" s="76"/>
      <c r="G46" s="76">
        <v>5</v>
      </c>
      <c r="H46" s="76">
        <v>1</v>
      </c>
      <c r="I46" s="76">
        <v>1</v>
      </c>
      <c r="J46" s="76"/>
      <c r="K46" s="76">
        <v>1</v>
      </c>
      <c r="L46" s="76">
        <v>1</v>
      </c>
      <c r="M46" s="76">
        <v>1</v>
      </c>
      <c r="N46" s="76"/>
      <c r="O46" s="76"/>
      <c r="P46" s="76">
        <v>1</v>
      </c>
      <c r="Q46" s="76"/>
      <c r="R46" s="76"/>
      <c r="S46" s="76">
        <v>1</v>
      </c>
      <c r="T46" s="76"/>
      <c r="U46" s="76"/>
      <c r="V46" s="49"/>
      <c r="W46" s="49"/>
      <c r="X46" s="49"/>
      <c r="Y46" s="49"/>
      <c r="Z46" s="49"/>
      <c r="AA46" s="49"/>
      <c r="AB46" s="49"/>
      <c r="AC46" s="49">
        <v>1</v>
      </c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>
        <v>10</v>
      </c>
      <c r="AR46" s="49"/>
      <c r="AS46" s="49">
        <v>1</v>
      </c>
    </row>
    <row r="47" spans="1:45" ht="15.75" x14ac:dyDescent="0.25">
      <c r="A47" s="87">
        <v>31</v>
      </c>
      <c r="B47" s="42" t="s">
        <v>155</v>
      </c>
      <c r="C47" s="75">
        <v>2</v>
      </c>
      <c r="D47" s="76">
        <v>1</v>
      </c>
      <c r="E47" s="76">
        <v>1</v>
      </c>
      <c r="F47" s="76"/>
      <c r="G47" s="76">
        <v>5</v>
      </c>
      <c r="H47" s="76">
        <v>1</v>
      </c>
      <c r="I47" s="76">
        <v>1</v>
      </c>
      <c r="J47" s="76"/>
      <c r="K47" s="76">
        <v>1</v>
      </c>
      <c r="L47" s="76">
        <v>1</v>
      </c>
      <c r="M47" s="76">
        <v>1</v>
      </c>
      <c r="N47" s="76"/>
      <c r="O47" s="76"/>
      <c r="P47" s="76">
        <v>1</v>
      </c>
      <c r="Q47" s="76"/>
      <c r="R47" s="76"/>
      <c r="S47" s="76">
        <v>1</v>
      </c>
      <c r="T47" s="76"/>
      <c r="U47" s="76"/>
      <c r="V47" s="49"/>
      <c r="W47" s="49"/>
      <c r="X47" s="49"/>
      <c r="Y47" s="49"/>
      <c r="Z47" s="49"/>
      <c r="AA47" s="49"/>
      <c r="AB47" s="49"/>
      <c r="AC47" s="49">
        <v>1</v>
      </c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>
        <v>10</v>
      </c>
      <c r="AR47" s="49"/>
      <c r="AS47" s="49">
        <v>1</v>
      </c>
    </row>
    <row r="48" spans="1:45" ht="15.75" x14ac:dyDescent="0.25">
      <c r="A48" s="87">
        <v>32</v>
      </c>
      <c r="B48" s="42" t="s">
        <v>374</v>
      </c>
      <c r="C48" s="75">
        <v>2</v>
      </c>
      <c r="D48" s="76">
        <v>1</v>
      </c>
      <c r="E48" s="76">
        <v>1</v>
      </c>
      <c r="F48" s="76"/>
      <c r="G48" s="76">
        <v>5</v>
      </c>
      <c r="H48" s="76">
        <v>1</v>
      </c>
      <c r="I48" s="76">
        <v>1</v>
      </c>
      <c r="J48" s="76"/>
      <c r="K48" s="76">
        <v>1</v>
      </c>
      <c r="L48" s="76">
        <v>1</v>
      </c>
      <c r="M48" s="76">
        <v>1</v>
      </c>
      <c r="N48" s="76"/>
      <c r="O48" s="76"/>
      <c r="P48" s="76">
        <v>1</v>
      </c>
      <c r="Q48" s="76"/>
      <c r="R48" s="76"/>
      <c r="S48" s="76">
        <v>1</v>
      </c>
      <c r="T48" s="76"/>
      <c r="U48" s="76"/>
      <c r="V48" s="49"/>
      <c r="W48" s="49"/>
      <c r="X48" s="49"/>
      <c r="Y48" s="49"/>
      <c r="Z48" s="49"/>
      <c r="AA48" s="49"/>
      <c r="AB48" s="49"/>
      <c r="AC48" s="49">
        <v>1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</row>
    <row r="49" spans="1:45" ht="15.75" x14ac:dyDescent="0.25">
      <c r="A49" s="87">
        <v>33</v>
      </c>
      <c r="B49" s="42" t="s">
        <v>487</v>
      </c>
      <c r="C49" s="75">
        <v>2</v>
      </c>
      <c r="D49" s="76">
        <v>1</v>
      </c>
      <c r="E49" s="76">
        <v>1</v>
      </c>
      <c r="F49" s="76"/>
      <c r="G49" s="76">
        <v>5</v>
      </c>
      <c r="H49" s="76">
        <v>1</v>
      </c>
      <c r="I49" s="76">
        <v>1</v>
      </c>
      <c r="J49" s="76"/>
      <c r="K49" s="76">
        <v>1</v>
      </c>
      <c r="L49" s="76">
        <v>1</v>
      </c>
      <c r="M49" s="76">
        <v>1</v>
      </c>
      <c r="N49" s="76"/>
      <c r="O49" s="76"/>
      <c r="P49" s="76">
        <v>1</v>
      </c>
      <c r="Q49" s="76"/>
      <c r="R49" s="76"/>
      <c r="S49" s="76">
        <v>1</v>
      </c>
      <c r="T49" s="76"/>
      <c r="U49" s="76"/>
      <c r="V49" s="49"/>
      <c r="W49" s="49"/>
      <c r="X49" s="49"/>
      <c r="Y49" s="49"/>
      <c r="Z49" s="49"/>
      <c r="AA49" s="49"/>
      <c r="AB49" s="49"/>
      <c r="AC49" s="49">
        <v>1</v>
      </c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>
        <v>10</v>
      </c>
      <c r="AR49" s="49"/>
      <c r="AS49" s="49">
        <v>1</v>
      </c>
    </row>
    <row r="50" spans="1:45" ht="15.75" x14ac:dyDescent="0.25">
      <c r="A50" s="87">
        <v>34</v>
      </c>
      <c r="B50" s="42" t="s">
        <v>474</v>
      </c>
      <c r="C50" s="75">
        <v>2</v>
      </c>
      <c r="D50" s="76">
        <v>1</v>
      </c>
      <c r="E50" s="76">
        <v>1</v>
      </c>
      <c r="F50" s="76"/>
      <c r="G50" s="76">
        <v>5</v>
      </c>
      <c r="H50" s="76">
        <v>1</v>
      </c>
      <c r="I50" s="76">
        <v>1</v>
      </c>
      <c r="J50" s="76"/>
      <c r="K50" s="76">
        <v>1</v>
      </c>
      <c r="L50" s="76">
        <v>1</v>
      </c>
      <c r="M50" s="76">
        <v>1</v>
      </c>
      <c r="N50" s="76"/>
      <c r="O50" s="76"/>
      <c r="P50" s="76">
        <v>1</v>
      </c>
      <c r="Q50" s="76"/>
      <c r="R50" s="76"/>
      <c r="S50" s="76">
        <v>1</v>
      </c>
      <c r="T50" s="76"/>
      <c r="U50" s="76"/>
      <c r="V50" s="49"/>
      <c r="W50" s="49"/>
      <c r="X50" s="49"/>
      <c r="Y50" s="49"/>
      <c r="Z50" s="49"/>
      <c r="AA50" s="49"/>
      <c r="AB50" s="49"/>
      <c r="AC50" s="49">
        <v>1</v>
      </c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>
        <v>10</v>
      </c>
      <c r="AR50" s="49"/>
      <c r="AS50" s="49">
        <v>1</v>
      </c>
    </row>
    <row r="51" spans="1:45" ht="15.75" x14ac:dyDescent="0.25">
      <c r="A51" s="87">
        <v>35</v>
      </c>
      <c r="B51" s="42" t="s">
        <v>545</v>
      </c>
      <c r="C51" s="75">
        <v>2</v>
      </c>
      <c r="D51" s="76">
        <v>1</v>
      </c>
      <c r="E51" s="76">
        <v>1</v>
      </c>
      <c r="F51" s="76"/>
      <c r="G51" s="76">
        <v>5</v>
      </c>
      <c r="H51" s="76">
        <v>1</v>
      </c>
      <c r="I51" s="76">
        <v>1</v>
      </c>
      <c r="J51" s="76"/>
      <c r="K51" s="76">
        <v>1</v>
      </c>
      <c r="L51" s="76">
        <v>1</v>
      </c>
      <c r="M51" s="76">
        <v>1</v>
      </c>
      <c r="N51" s="76"/>
      <c r="O51" s="76"/>
      <c r="P51" s="76">
        <v>1</v>
      </c>
      <c r="Q51" s="76"/>
      <c r="R51" s="76"/>
      <c r="S51" s="76">
        <v>1</v>
      </c>
      <c r="T51" s="76"/>
      <c r="U51" s="76"/>
      <c r="V51" s="49"/>
      <c r="W51" s="49"/>
      <c r="X51" s="49"/>
      <c r="Y51" s="49"/>
      <c r="Z51" s="49"/>
      <c r="AA51" s="49"/>
      <c r="AB51" s="49"/>
      <c r="AC51" s="49">
        <v>1</v>
      </c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>
        <v>10</v>
      </c>
      <c r="AR51" s="49"/>
      <c r="AS51" s="49">
        <v>1</v>
      </c>
    </row>
    <row r="52" spans="1:45" ht="15.75" x14ac:dyDescent="0.25">
      <c r="A52" s="87">
        <v>36</v>
      </c>
      <c r="B52" s="42" t="s">
        <v>544</v>
      </c>
      <c r="C52" s="75">
        <v>2</v>
      </c>
      <c r="D52" s="76">
        <v>1</v>
      </c>
      <c r="E52" s="76">
        <v>1</v>
      </c>
      <c r="F52" s="76"/>
      <c r="G52" s="76">
        <v>5</v>
      </c>
      <c r="H52" s="76">
        <v>1</v>
      </c>
      <c r="I52" s="76">
        <v>1</v>
      </c>
      <c r="J52" s="76"/>
      <c r="K52" s="76">
        <v>1</v>
      </c>
      <c r="L52" s="76">
        <v>1</v>
      </c>
      <c r="M52" s="76">
        <v>1</v>
      </c>
      <c r="N52" s="76"/>
      <c r="O52" s="76"/>
      <c r="P52" s="76">
        <v>1</v>
      </c>
      <c r="Q52" s="76"/>
      <c r="R52" s="76"/>
      <c r="S52" s="76">
        <v>1</v>
      </c>
      <c r="T52" s="76"/>
      <c r="U52" s="76"/>
      <c r="V52" s="49"/>
      <c r="W52" s="49"/>
      <c r="X52" s="49"/>
      <c r="Y52" s="49"/>
      <c r="Z52" s="49"/>
      <c r="AA52" s="49"/>
      <c r="AB52" s="49"/>
      <c r="AC52" s="49">
        <v>1</v>
      </c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>
        <v>20</v>
      </c>
      <c r="AR52" s="49"/>
      <c r="AS52" s="49">
        <v>1</v>
      </c>
    </row>
    <row r="53" spans="1:45" ht="15.75" x14ac:dyDescent="0.25">
      <c r="A53" s="87">
        <v>37</v>
      </c>
      <c r="B53" s="42" t="s">
        <v>543</v>
      </c>
      <c r="C53" s="75">
        <v>2</v>
      </c>
      <c r="D53" s="76">
        <v>1</v>
      </c>
      <c r="E53" s="76">
        <v>1</v>
      </c>
      <c r="F53" s="76"/>
      <c r="G53" s="76">
        <v>5</v>
      </c>
      <c r="H53" s="76">
        <v>1</v>
      </c>
      <c r="I53" s="76">
        <v>1</v>
      </c>
      <c r="J53" s="76"/>
      <c r="K53" s="76">
        <v>1</v>
      </c>
      <c r="L53" s="76">
        <v>1</v>
      </c>
      <c r="M53" s="76">
        <v>1</v>
      </c>
      <c r="N53" s="76"/>
      <c r="O53" s="76"/>
      <c r="P53" s="76">
        <v>1</v>
      </c>
      <c r="Q53" s="76"/>
      <c r="R53" s="76"/>
      <c r="S53" s="76">
        <v>1</v>
      </c>
      <c r="T53" s="76"/>
      <c r="U53" s="76"/>
      <c r="V53" s="49"/>
      <c r="W53" s="49"/>
      <c r="X53" s="49"/>
      <c r="Y53" s="49"/>
      <c r="Z53" s="49"/>
      <c r="AA53" s="49"/>
      <c r="AB53" s="49"/>
      <c r="AC53" s="49">
        <v>1</v>
      </c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>
        <v>10</v>
      </c>
      <c r="AR53" s="49"/>
      <c r="AS53" s="49">
        <v>1</v>
      </c>
    </row>
    <row r="54" spans="1:45" ht="15.75" x14ac:dyDescent="0.25">
      <c r="A54" s="87">
        <v>38</v>
      </c>
      <c r="B54" s="42" t="s">
        <v>542</v>
      </c>
      <c r="C54" s="75">
        <v>2</v>
      </c>
      <c r="D54" s="76">
        <v>1</v>
      </c>
      <c r="E54" s="76">
        <v>1</v>
      </c>
      <c r="F54" s="76"/>
      <c r="G54" s="76">
        <v>5</v>
      </c>
      <c r="H54" s="76">
        <v>1</v>
      </c>
      <c r="I54" s="76">
        <v>1</v>
      </c>
      <c r="J54" s="76"/>
      <c r="K54" s="76">
        <v>1</v>
      </c>
      <c r="L54" s="76">
        <v>1</v>
      </c>
      <c r="M54" s="76">
        <v>1</v>
      </c>
      <c r="N54" s="76"/>
      <c r="O54" s="76"/>
      <c r="P54" s="76">
        <v>1</v>
      </c>
      <c r="Q54" s="76"/>
      <c r="R54" s="76"/>
      <c r="S54" s="76">
        <v>1</v>
      </c>
      <c r="T54" s="76"/>
      <c r="U54" s="76"/>
      <c r="V54" s="49"/>
      <c r="W54" s="49"/>
      <c r="X54" s="49"/>
      <c r="Y54" s="49"/>
      <c r="Z54" s="49"/>
      <c r="AA54" s="49"/>
      <c r="AB54" s="49"/>
      <c r="AC54" s="49">
        <v>1</v>
      </c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>
        <v>10</v>
      </c>
      <c r="AR54" s="49"/>
      <c r="AS54" s="49">
        <v>1</v>
      </c>
    </row>
    <row r="55" spans="1:45" ht="15.75" x14ac:dyDescent="0.25">
      <c r="A55" s="87">
        <v>39</v>
      </c>
      <c r="B55" s="42" t="s">
        <v>541</v>
      </c>
      <c r="C55" s="75">
        <v>2</v>
      </c>
      <c r="D55" s="76">
        <v>1</v>
      </c>
      <c r="E55" s="76">
        <v>1</v>
      </c>
      <c r="F55" s="76"/>
      <c r="G55" s="76">
        <v>5</v>
      </c>
      <c r="H55" s="76">
        <v>1</v>
      </c>
      <c r="I55" s="76">
        <v>1</v>
      </c>
      <c r="J55" s="76"/>
      <c r="K55" s="76">
        <v>1</v>
      </c>
      <c r="L55" s="76">
        <v>1</v>
      </c>
      <c r="M55" s="76">
        <v>1</v>
      </c>
      <c r="N55" s="76"/>
      <c r="O55" s="76"/>
      <c r="P55" s="76">
        <v>1</v>
      </c>
      <c r="Q55" s="76"/>
      <c r="R55" s="76"/>
      <c r="S55" s="76">
        <v>1</v>
      </c>
      <c r="T55" s="76"/>
      <c r="U55" s="76"/>
      <c r="V55" s="49"/>
      <c r="W55" s="49"/>
      <c r="X55" s="49"/>
      <c r="Y55" s="49"/>
      <c r="Z55" s="49"/>
      <c r="AA55" s="49"/>
      <c r="AB55" s="49"/>
      <c r="AC55" s="49">
        <v>1</v>
      </c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>
        <v>10</v>
      </c>
      <c r="AR55" s="49"/>
      <c r="AS55" s="49">
        <v>1</v>
      </c>
    </row>
    <row r="56" spans="1:45" ht="15.75" x14ac:dyDescent="0.25">
      <c r="A56" s="87">
        <v>40</v>
      </c>
      <c r="B56" s="42" t="s">
        <v>540</v>
      </c>
      <c r="C56" s="75">
        <v>2</v>
      </c>
      <c r="D56" s="76">
        <v>1</v>
      </c>
      <c r="E56" s="76">
        <v>1</v>
      </c>
      <c r="F56" s="76"/>
      <c r="G56" s="76">
        <v>5</v>
      </c>
      <c r="H56" s="76">
        <v>1</v>
      </c>
      <c r="I56" s="76">
        <v>1</v>
      </c>
      <c r="J56" s="76"/>
      <c r="K56" s="76">
        <v>1</v>
      </c>
      <c r="L56" s="76">
        <v>1</v>
      </c>
      <c r="M56" s="76">
        <v>1</v>
      </c>
      <c r="N56" s="76"/>
      <c r="O56" s="76"/>
      <c r="P56" s="76">
        <v>1</v>
      </c>
      <c r="Q56" s="76"/>
      <c r="R56" s="76"/>
      <c r="S56" s="76">
        <v>1</v>
      </c>
      <c r="T56" s="76"/>
      <c r="U56" s="76"/>
      <c r="V56" s="49"/>
      <c r="W56" s="49"/>
      <c r="X56" s="49"/>
      <c r="Y56" s="49"/>
      <c r="Z56" s="49"/>
      <c r="AA56" s="49"/>
      <c r="AB56" s="49"/>
      <c r="AC56" s="49">
        <v>1</v>
      </c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>
        <v>10</v>
      </c>
      <c r="AR56" s="49"/>
      <c r="AS56" s="49">
        <v>1</v>
      </c>
    </row>
    <row r="57" spans="1:45" ht="15.75" x14ac:dyDescent="0.25">
      <c r="A57" s="87">
        <v>41</v>
      </c>
      <c r="B57" s="42" t="s">
        <v>539</v>
      </c>
      <c r="C57" s="75">
        <v>2</v>
      </c>
      <c r="D57" s="76">
        <v>1</v>
      </c>
      <c r="E57" s="76">
        <v>1</v>
      </c>
      <c r="F57" s="76"/>
      <c r="G57" s="76">
        <v>5</v>
      </c>
      <c r="H57" s="76">
        <v>1</v>
      </c>
      <c r="I57" s="76">
        <v>1</v>
      </c>
      <c r="J57" s="76"/>
      <c r="K57" s="76">
        <v>1</v>
      </c>
      <c r="L57" s="76">
        <v>1</v>
      </c>
      <c r="M57" s="76">
        <v>1</v>
      </c>
      <c r="N57" s="76"/>
      <c r="O57" s="76"/>
      <c r="P57" s="76">
        <v>1</v>
      </c>
      <c r="Q57" s="76"/>
      <c r="R57" s="76"/>
      <c r="S57" s="76">
        <v>1</v>
      </c>
      <c r="T57" s="76"/>
      <c r="U57" s="76"/>
      <c r="V57" s="49"/>
      <c r="W57" s="49"/>
      <c r="X57" s="49"/>
      <c r="Y57" s="49"/>
      <c r="Z57" s="49"/>
      <c r="AA57" s="49"/>
      <c r="AB57" s="49"/>
      <c r="AC57" s="49">
        <v>1</v>
      </c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>
        <v>10</v>
      </c>
      <c r="AR57" s="49"/>
      <c r="AS57" s="49">
        <v>1</v>
      </c>
    </row>
    <row r="58" spans="1:45" ht="15.75" x14ac:dyDescent="0.25">
      <c r="A58" s="87">
        <v>42</v>
      </c>
      <c r="B58" s="42" t="s">
        <v>538</v>
      </c>
      <c r="C58" s="75">
        <v>2</v>
      </c>
      <c r="D58" s="76">
        <v>1</v>
      </c>
      <c r="E58" s="76">
        <v>1</v>
      </c>
      <c r="F58" s="76"/>
      <c r="G58" s="76">
        <v>5</v>
      </c>
      <c r="H58" s="76">
        <v>1</v>
      </c>
      <c r="I58" s="76">
        <v>1</v>
      </c>
      <c r="J58" s="76"/>
      <c r="K58" s="76">
        <v>1</v>
      </c>
      <c r="L58" s="76">
        <v>1</v>
      </c>
      <c r="M58" s="76">
        <v>1</v>
      </c>
      <c r="N58" s="76"/>
      <c r="O58" s="76"/>
      <c r="P58" s="76">
        <v>1</v>
      </c>
      <c r="Q58" s="76"/>
      <c r="R58" s="76"/>
      <c r="S58" s="76">
        <v>1</v>
      </c>
      <c r="T58" s="76"/>
      <c r="U58" s="76"/>
      <c r="V58" s="49"/>
      <c r="W58" s="49"/>
      <c r="X58" s="49"/>
      <c r="Y58" s="49"/>
      <c r="Z58" s="49"/>
      <c r="AA58" s="49"/>
      <c r="AB58" s="49"/>
      <c r="AC58" s="49">
        <v>1</v>
      </c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>
        <v>10</v>
      </c>
      <c r="AR58" s="49"/>
      <c r="AS58" s="49">
        <v>1</v>
      </c>
    </row>
    <row r="59" spans="1:45" ht="15.75" x14ac:dyDescent="0.25">
      <c r="A59" s="87">
        <v>43</v>
      </c>
      <c r="B59" s="42" t="s">
        <v>537</v>
      </c>
      <c r="C59" s="75">
        <v>2</v>
      </c>
      <c r="D59" s="76">
        <v>1</v>
      </c>
      <c r="E59" s="76">
        <v>1</v>
      </c>
      <c r="F59" s="76"/>
      <c r="G59" s="76">
        <v>5</v>
      </c>
      <c r="H59" s="76">
        <v>1</v>
      </c>
      <c r="I59" s="76">
        <v>1</v>
      </c>
      <c r="J59" s="76"/>
      <c r="K59" s="76">
        <v>1</v>
      </c>
      <c r="L59" s="76">
        <v>1</v>
      </c>
      <c r="M59" s="76">
        <v>1</v>
      </c>
      <c r="N59" s="76"/>
      <c r="O59" s="76"/>
      <c r="P59" s="76">
        <v>1</v>
      </c>
      <c r="Q59" s="76"/>
      <c r="R59" s="76"/>
      <c r="S59" s="76">
        <v>1</v>
      </c>
      <c r="T59" s="76"/>
      <c r="U59" s="76"/>
      <c r="V59" s="49"/>
      <c r="W59" s="49"/>
      <c r="X59" s="49"/>
      <c r="Y59" s="49"/>
      <c r="Z59" s="49"/>
      <c r="AA59" s="49"/>
      <c r="AB59" s="49"/>
      <c r="AC59" s="49">
        <v>1</v>
      </c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>
        <v>10</v>
      </c>
      <c r="AR59" s="49"/>
      <c r="AS59" s="49">
        <v>1</v>
      </c>
    </row>
    <row r="60" spans="1:45" ht="15.75" x14ac:dyDescent="0.25">
      <c r="A60" s="87">
        <v>44</v>
      </c>
      <c r="B60" s="42" t="s">
        <v>536</v>
      </c>
      <c r="C60" s="75">
        <v>2</v>
      </c>
      <c r="D60" s="76">
        <v>1</v>
      </c>
      <c r="E60" s="76">
        <v>1</v>
      </c>
      <c r="F60" s="76"/>
      <c r="G60" s="76">
        <v>5</v>
      </c>
      <c r="H60" s="76">
        <v>1</v>
      </c>
      <c r="I60" s="76">
        <v>1</v>
      </c>
      <c r="J60" s="76"/>
      <c r="K60" s="76">
        <v>1</v>
      </c>
      <c r="L60" s="76">
        <v>1</v>
      </c>
      <c r="M60" s="76">
        <v>1</v>
      </c>
      <c r="N60" s="76"/>
      <c r="O60" s="76"/>
      <c r="P60" s="76">
        <v>1</v>
      </c>
      <c r="Q60" s="76"/>
      <c r="R60" s="76"/>
      <c r="S60" s="76">
        <v>1</v>
      </c>
      <c r="T60" s="76"/>
      <c r="U60" s="76"/>
      <c r="V60" s="49"/>
      <c r="W60" s="49"/>
      <c r="X60" s="49"/>
      <c r="Y60" s="49"/>
      <c r="Z60" s="49"/>
      <c r="AA60" s="49"/>
      <c r="AB60" s="49"/>
      <c r="AC60" s="49">
        <v>1</v>
      </c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>
        <v>10</v>
      </c>
      <c r="AR60" s="49"/>
      <c r="AS60" s="49">
        <v>1</v>
      </c>
    </row>
    <row r="61" spans="1:45" ht="15.75" x14ac:dyDescent="0.25">
      <c r="A61" s="87">
        <v>45</v>
      </c>
      <c r="B61" s="42" t="s">
        <v>535</v>
      </c>
      <c r="C61" s="75">
        <v>2</v>
      </c>
      <c r="D61" s="76">
        <v>1</v>
      </c>
      <c r="E61" s="76">
        <v>1</v>
      </c>
      <c r="F61" s="76"/>
      <c r="G61" s="76">
        <v>5</v>
      </c>
      <c r="H61" s="76">
        <v>1</v>
      </c>
      <c r="I61" s="76">
        <v>1</v>
      </c>
      <c r="J61" s="76"/>
      <c r="K61" s="76">
        <v>1</v>
      </c>
      <c r="L61" s="76">
        <v>1</v>
      </c>
      <c r="M61" s="76">
        <v>1</v>
      </c>
      <c r="N61" s="76"/>
      <c r="O61" s="76"/>
      <c r="P61" s="76">
        <v>1</v>
      </c>
      <c r="Q61" s="76"/>
      <c r="R61" s="76"/>
      <c r="S61" s="76">
        <v>1</v>
      </c>
      <c r="T61" s="76"/>
      <c r="U61" s="76"/>
      <c r="V61" s="49"/>
      <c r="W61" s="49"/>
      <c r="X61" s="49"/>
      <c r="Y61" s="49"/>
      <c r="Z61" s="49"/>
      <c r="AA61" s="49"/>
      <c r="AB61" s="49"/>
      <c r="AC61" s="49">
        <v>1</v>
      </c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>
        <v>10</v>
      </c>
      <c r="AR61" s="49"/>
      <c r="AS61" s="49">
        <v>1</v>
      </c>
    </row>
    <row r="62" spans="1:45" ht="15.75" x14ac:dyDescent="0.25">
      <c r="A62" s="87">
        <v>46</v>
      </c>
      <c r="B62" s="42" t="s">
        <v>534</v>
      </c>
      <c r="C62" s="75">
        <v>2</v>
      </c>
      <c r="D62" s="76">
        <v>1</v>
      </c>
      <c r="E62" s="76">
        <v>1</v>
      </c>
      <c r="F62" s="76"/>
      <c r="G62" s="76">
        <v>5</v>
      </c>
      <c r="H62" s="76">
        <v>1</v>
      </c>
      <c r="I62" s="76">
        <v>1</v>
      </c>
      <c r="J62" s="76"/>
      <c r="K62" s="76">
        <v>1</v>
      </c>
      <c r="L62" s="76">
        <v>1</v>
      </c>
      <c r="M62" s="76">
        <v>1</v>
      </c>
      <c r="N62" s="76"/>
      <c r="O62" s="76"/>
      <c r="P62" s="76">
        <v>1</v>
      </c>
      <c r="Q62" s="76"/>
      <c r="R62" s="76"/>
      <c r="S62" s="76">
        <v>1</v>
      </c>
      <c r="T62" s="76"/>
      <c r="U62" s="76"/>
      <c r="V62" s="49"/>
      <c r="W62" s="49"/>
      <c r="X62" s="49"/>
      <c r="Y62" s="49"/>
      <c r="Z62" s="49"/>
      <c r="AA62" s="49"/>
      <c r="AB62" s="49"/>
      <c r="AC62" s="49">
        <v>1</v>
      </c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>
        <v>10</v>
      </c>
      <c r="AR62" s="49"/>
      <c r="AS62" s="49">
        <v>1</v>
      </c>
    </row>
    <row r="63" spans="1:45" ht="15.75" x14ac:dyDescent="0.25">
      <c r="A63" s="87">
        <v>47</v>
      </c>
      <c r="B63" s="42" t="s">
        <v>488</v>
      </c>
      <c r="C63" s="75">
        <v>2</v>
      </c>
      <c r="D63" s="76">
        <v>1</v>
      </c>
      <c r="E63" s="76">
        <v>1</v>
      </c>
      <c r="F63" s="76"/>
      <c r="G63" s="76">
        <v>5</v>
      </c>
      <c r="H63" s="76">
        <v>1</v>
      </c>
      <c r="I63" s="76">
        <v>1</v>
      </c>
      <c r="J63" s="76"/>
      <c r="K63" s="76">
        <v>1</v>
      </c>
      <c r="L63" s="76">
        <v>1</v>
      </c>
      <c r="M63" s="76">
        <v>1</v>
      </c>
      <c r="N63" s="76"/>
      <c r="O63" s="76"/>
      <c r="P63" s="76">
        <v>1</v>
      </c>
      <c r="Q63" s="76"/>
      <c r="R63" s="76"/>
      <c r="S63" s="76">
        <v>1</v>
      </c>
      <c r="T63" s="76"/>
      <c r="U63" s="76"/>
      <c r="V63" s="49"/>
      <c r="W63" s="49"/>
      <c r="X63" s="49"/>
      <c r="Y63" s="49"/>
      <c r="Z63" s="49"/>
      <c r="AA63" s="49"/>
      <c r="AB63" s="49"/>
      <c r="AC63" s="49">
        <v>1</v>
      </c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>
        <v>10</v>
      </c>
      <c r="AR63" s="49"/>
      <c r="AS63" s="49">
        <v>1</v>
      </c>
    </row>
    <row r="64" spans="1:45" ht="15.75" x14ac:dyDescent="0.25">
      <c r="A64" s="87">
        <v>48</v>
      </c>
      <c r="B64" s="42" t="s">
        <v>489</v>
      </c>
      <c r="C64" s="75">
        <v>2</v>
      </c>
      <c r="D64" s="76">
        <v>1</v>
      </c>
      <c r="E64" s="76">
        <v>1</v>
      </c>
      <c r="F64" s="76"/>
      <c r="G64" s="76">
        <v>5</v>
      </c>
      <c r="H64" s="76">
        <v>1</v>
      </c>
      <c r="I64" s="76">
        <v>1</v>
      </c>
      <c r="J64" s="76"/>
      <c r="K64" s="76">
        <v>1</v>
      </c>
      <c r="L64" s="76">
        <v>1</v>
      </c>
      <c r="M64" s="76">
        <v>1</v>
      </c>
      <c r="N64" s="76"/>
      <c r="O64" s="76"/>
      <c r="P64" s="76">
        <v>1</v>
      </c>
      <c r="Q64" s="76"/>
      <c r="R64" s="76"/>
      <c r="S64" s="76">
        <v>1</v>
      </c>
      <c r="T64" s="76"/>
      <c r="U64" s="76"/>
      <c r="V64" s="49"/>
      <c r="W64" s="49"/>
      <c r="X64" s="49"/>
      <c r="Y64" s="49"/>
      <c r="Z64" s="49"/>
      <c r="AA64" s="49"/>
      <c r="AB64" s="49"/>
      <c r="AC64" s="49">
        <v>1</v>
      </c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>
        <v>10</v>
      </c>
      <c r="AR64" s="49"/>
      <c r="AS64" s="49">
        <v>1</v>
      </c>
    </row>
    <row r="65" spans="1:45" x14ac:dyDescent="0.25">
      <c r="A65" s="87">
        <v>49</v>
      </c>
      <c r="B65" s="100" t="s">
        <v>546</v>
      </c>
      <c r="C65" s="101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>
        <v>20</v>
      </c>
      <c r="AR65" s="102"/>
      <c r="AS65" s="102">
        <v>1</v>
      </c>
    </row>
    <row r="66" spans="1:45" x14ac:dyDescent="0.25">
      <c r="A66" s="87">
        <v>50</v>
      </c>
      <c r="B66" s="100" t="s">
        <v>547</v>
      </c>
      <c r="C66" s="101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>
        <v>10</v>
      </c>
      <c r="AR66" s="102"/>
      <c r="AS66" s="102">
        <v>1</v>
      </c>
    </row>
    <row r="67" spans="1:45" s="103" customFormat="1" x14ac:dyDescent="0.25">
      <c r="A67" s="87">
        <v>51</v>
      </c>
      <c r="B67" s="100" t="s">
        <v>490</v>
      </c>
      <c r="C67" s="101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>
        <v>10</v>
      </c>
      <c r="AR67" s="102"/>
      <c r="AS67" s="102">
        <v>1</v>
      </c>
    </row>
    <row r="68" spans="1:45" ht="15.75" x14ac:dyDescent="0.25">
      <c r="A68" s="87">
        <v>52</v>
      </c>
      <c r="B68" s="42" t="s">
        <v>175</v>
      </c>
      <c r="C68" s="75">
        <v>2</v>
      </c>
      <c r="D68" s="76">
        <v>1</v>
      </c>
      <c r="E68" s="76">
        <v>1</v>
      </c>
      <c r="F68" s="76"/>
      <c r="G68" s="76">
        <v>5</v>
      </c>
      <c r="H68" s="76">
        <v>1</v>
      </c>
      <c r="I68" s="76">
        <v>1</v>
      </c>
      <c r="J68" s="76"/>
      <c r="K68" s="76">
        <v>1</v>
      </c>
      <c r="L68" s="76">
        <v>1</v>
      </c>
      <c r="M68" s="76">
        <v>1</v>
      </c>
      <c r="N68" s="76"/>
      <c r="O68" s="76"/>
      <c r="P68" s="76">
        <v>1</v>
      </c>
      <c r="Q68" s="76"/>
      <c r="R68" s="76"/>
      <c r="S68" s="76">
        <v>1</v>
      </c>
      <c r="T68" s="76"/>
      <c r="U68" s="76"/>
      <c r="V68" s="49"/>
      <c r="W68" s="49"/>
      <c r="X68" s="49"/>
      <c r="Y68" s="49"/>
      <c r="Z68" s="49"/>
      <c r="AA68" s="49"/>
      <c r="AB68" s="49"/>
      <c r="AC68" s="49">
        <v>1</v>
      </c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>
        <v>10</v>
      </c>
      <c r="AR68" s="49"/>
      <c r="AS68" s="49">
        <v>1</v>
      </c>
    </row>
    <row r="69" spans="1:45" ht="18.75" x14ac:dyDescent="0.25">
      <c r="A69" s="25"/>
      <c r="B69" s="48" t="s">
        <v>1</v>
      </c>
      <c r="C69" s="34">
        <f t="shared" ref="C69:AS69" si="0">SUM(C17:C68)</f>
        <v>92</v>
      </c>
      <c r="D69" s="34">
        <f t="shared" si="0"/>
        <v>46</v>
      </c>
      <c r="E69" s="34">
        <f t="shared" si="0"/>
        <v>46</v>
      </c>
      <c r="F69" s="34">
        <f t="shared" si="0"/>
        <v>0</v>
      </c>
      <c r="G69" s="34">
        <f t="shared" si="0"/>
        <v>230</v>
      </c>
      <c r="H69" s="34">
        <f t="shared" si="0"/>
        <v>46</v>
      </c>
      <c r="I69" s="34">
        <f t="shared" si="0"/>
        <v>46</v>
      </c>
      <c r="J69" s="34">
        <f t="shared" si="0"/>
        <v>0</v>
      </c>
      <c r="K69" s="34">
        <f t="shared" si="0"/>
        <v>46</v>
      </c>
      <c r="L69" s="34">
        <f t="shared" si="0"/>
        <v>46</v>
      </c>
      <c r="M69" s="34">
        <f t="shared" si="0"/>
        <v>46</v>
      </c>
      <c r="N69" s="34">
        <f t="shared" si="0"/>
        <v>0</v>
      </c>
      <c r="O69" s="34">
        <f t="shared" si="0"/>
        <v>0</v>
      </c>
      <c r="P69" s="34">
        <f t="shared" si="0"/>
        <v>46</v>
      </c>
      <c r="Q69" s="34">
        <f t="shared" si="0"/>
        <v>0</v>
      </c>
      <c r="R69" s="34">
        <f t="shared" si="0"/>
        <v>0</v>
      </c>
      <c r="S69" s="34">
        <f t="shared" si="0"/>
        <v>46</v>
      </c>
      <c r="T69" s="34">
        <f t="shared" si="0"/>
        <v>0</v>
      </c>
      <c r="U69" s="34">
        <f t="shared" si="0"/>
        <v>0</v>
      </c>
      <c r="V69" s="34">
        <f t="shared" si="0"/>
        <v>0</v>
      </c>
      <c r="W69" s="34">
        <f t="shared" si="0"/>
        <v>0</v>
      </c>
      <c r="X69" s="34">
        <f t="shared" si="0"/>
        <v>0</v>
      </c>
      <c r="Y69" s="34">
        <f t="shared" si="0"/>
        <v>0</v>
      </c>
      <c r="Z69" s="34">
        <f t="shared" si="0"/>
        <v>0</v>
      </c>
      <c r="AA69" s="34">
        <f t="shared" si="0"/>
        <v>0</v>
      </c>
      <c r="AB69" s="34">
        <f t="shared" si="0"/>
        <v>0</v>
      </c>
      <c r="AC69" s="34">
        <f t="shared" si="0"/>
        <v>46</v>
      </c>
      <c r="AD69" s="34">
        <f t="shared" si="0"/>
        <v>0</v>
      </c>
      <c r="AE69" s="34">
        <f t="shared" si="0"/>
        <v>0</v>
      </c>
      <c r="AF69" s="34">
        <f t="shared" si="0"/>
        <v>0</v>
      </c>
      <c r="AG69" s="34">
        <f t="shared" si="0"/>
        <v>0</v>
      </c>
      <c r="AH69" s="34">
        <f t="shared" si="0"/>
        <v>0</v>
      </c>
      <c r="AI69" s="34">
        <f t="shared" si="0"/>
        <v>0</v>
      </c>
      <c r="AJ69" s="34">
        <f t="shared" si="0"/>
        <v>0</v>
      </c>
      <c r="AK69" s="34">
        <f t="shared" si="0"/>
        <v>0</v>
      </c>
      <c r="AL69" s="34">
        <f t="shared" si="0"/>
        <v>0</v>
      </c>
      <c r="AM69" s="34">
        <f t="shared" si="0"/>
        <v>0</v>
      </c>
      <c r="AN69" s="34">
        <f t="shared" si="0"/>
        <v>0</v>
      </c>
      <c r="AO69" s="34">
        <f t="shared" si="0"/>
        <v>0</v>
      </c>
      <c r="AP69" s="34">
        <f t="shared" si="0"/>
        <v>0</v>
      </c>
      <c r="AQ69" s="34">
        <f t="shared" si="0"/>
        <v>570</v>
      </c>
      <c r="AR69" s="34">
        <f t="shared" si="0"/>
        <v>0</v>
      </c>
      <c r="AS69" s="34">
        <f t="shared" si="0"/>
        <v>51</v>
      </c>
    </row>
    <row r="73" spans="1:45" ht="15.75" x14ac:dyDescent="0.25">
      <c r="B73" s="63" t="s">
        <v>291</v>
      </c>
      <c r="C73" s="64" t="s">
        <v>300</v>
      </c>
      <c r="I73" s="65"/>
      <c r="J73" s="65"/>
      <c r="K73" s="65"/>
      <c r="L73" s="65"/>
      <c r="M73" s="65"/>
      <c r="N73" s="65"/>
      <c r="O73" s="65"/>
      <c r="R73" s="66"/>
      <c r="S73" s="66"/>
      <c r="T73" s="66"/>
      <c r="U73" s="66"/>
      <c r="V73" s="66"/>
      <c r="W73" s="66"/>
      <c r="X73" s="66"/>
    </row>
    <row r="74" spans="1:45" ht="15.75" x14ac:dyDescent="0.25">
      <c r="C74"/>
      <c r="K74" s="67" t="s">
        <v>293</v>
      </c>
      <c r="U74" s="64" t="s">
        <v>292</v>
      </c>
    </row>
  </sheetData>
  <mergeCells count="7">
    <mergeCell ref="A10:AS10"/>
    <mergeCell ref="A11:AS11"/>
    <mergeCell ref="A14:A15"/>
    <mergeCell ref="B14:B15"/>
    <mergeCell ref="C14:AS14"/>
    <mergeCell ref="R12:S12"/>
    <mergeCell ref="T12:U12"/>
  </mergeCells>
  <conditionalFormatting sqref="B1:B1048576">
    <cfRule type="duplicateValues" dxfId="88" priority="1"/>
  </conditionalFormatting>
  <conditionalFormatting sqref="B17">
    <cfRule type="duplicateValues" dxfId="87" priority="431"/>
  </conditionalFormatting>
  <conditionalFormatting sqref="B18">
    <cfRule type="duplicateValues" dxfId="86" priority="685"/>
  </conditionalFormatting>
  <conditionalFormatting sqref="B19:B68">
    <cfRule type="duplicateValues" dxfId="85" priority="857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59999389629810485"/>
    <pageSetUpPr fitToPage="1"/>
  </sheetPr>
  <dimension ref="A10:AS23"/>
  <sheetViews>
    <sheetView view="pageBreakPreview" topLeftCell="A7" zoomScaleSheetLayoutView="100" workbookViewId="0">
      <selection activeCell="B17" sqref="B17:B18"/>
    </sheetView>
  </sheetViews>
  <sheetFormatPr defaultRowHeight="15" x14ac:dyDescent="0.25"/>
  <cols>
    <col min="1" max="1" width="5.28515625" customWidth="1"/>
    <col min="2" max="2" width="38.28515625" customWidth="1"/>
    <col min="3" max="3" width="16.28515625" style="37" customWidth="1"/>
    <col min="4" max="42" width="7.7109375" style="37" customWidth="1"/>
    <col min="43" max="43" width="10.7109375" style="37" bestFit="1" customWidth="1"/>
    <col min="44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295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 t="s">
        <v>288</v>
      </c>
      <c r="R12" s="112" t="str">
        <f>'Справочник-не смотрим!'!B1</f>
        <v>февраль</v>
      </c>
      <c r="S12" s="112"/>
      <c r="T12" s="112">
        <f>'Справочник-не смотрим!'!B2</f>
        <v>2026</v>
      </c>
      <c r="U12" s="112"/>
      <c r="V12" s="61" t="s">
        <v>289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42">
        <v>1</v>
      </c>
      <c r="B17" s="42" t="s">
        <v>365</v>
      </c>
      <c r="C17" s="75">
        <v>2</v>
      </c>
      <c r="D17" s="76">
        <v>1</v>
      </c>
      <c r="E17" s="76"/>
      <c r="F17" s="76"/>
      <c r="G17" s="76"/>
      <c r="H17" s="76">
        <v>1</v>
      </c>
      <c r="I17" s="76">
        <v>1</v>
      </c>
      <c r="J17" s="76"/>
      <c r="K17" s="76">
        <v>1</v>
      </c>
      <c r="L17" s="76">
        <v>1</v>
      </c>
      <c r="M17" s="76"/>
      <c r="N17" s="76"/>
      <c r="O17" s="76"/>
      <c r="P17" s="76"/>
      <c r="Q17" s="76"/>
      <c r="R17" s="76"/>
      <c r="S17" s="76"/>
      <c r="T17" s="76"/>
      <c r="U17" s="76"/>
      <c r="V17" s="49"/>
      <c r="W17" s="49"/>
      <c r="X17" s="49"/>
      <c r="Y17" s="49"/>
      <c r="Z17" s="49">
        <v>1</v>
      </c>
      <c r="AA17" s="49">
        <v>1</v>
      </c>
      <c r="AB17" s="49">
        <v>1</v>
      </c>
      <c r="AC17" s="49">
        <v>1</v>
      </c>
      <c r="AD17" s="49">
        <v>1</v>
      </c>
      <c r="AE17" s="49">
        <v>1</v>
      </c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</row>
    <row r="18" spans="1:45" ht="15.75" x14ac:dyDescent="0.25">
      <c r="A18" s="42">
        <v>2</v>
      </c>
      <c r="B18" s="42" t="s">
        <v>458</v>
      </c>
      <c r="C18" s="75">
        <v>2</v>
      </c>
      <c r="D18" s="76">
        <v>1</v>
      </c>
      <c r="E18" s="76"/>
      <c r="F18" s="76"/>
      <c r="G18" s="76"/>
      <c r="H18" s="76">
        <v>1</v>
      </c>
      <c r="I18" s="76">
        <v>1</v>
      </c>
      <c r="J18" s="76"/>
      <c r="K18" s="76">
        <v>1</v>
      </c>
      <c r="L18" s="76">
        <v>1</v>
      </c>
      <c r="M18" s="76"/>
      <c r="N18" s="76"/>
      <c r="O18" s="76"/>
      <c r="P18" s="76"/>
      <c r="Q18" s="76"/>
      <c r="R18" s="76"/>
      <c r="S18" s="76"/>
      <c r="T18" s="76"/>
      <c r="U18" s="76"/>
      <c r="V18" s="49"/>
      <c r="W18" s="49"/>
      <c r="X18" s="49"/>
      <c r="Y18" s="49"/>
      <c r="Z18" s="49">
        <v>1</v>
      </c>
      <c r="AA18" s="49">
        <v>1</v>
      </c>
      <c r="AB18" s="49">
        <v>1</v>
      </c>
      <c r="AC18" s="49">
        <v>1</v>
      </c>
      <c r="AD18" s="49">
        <v>1</v>
      </c>
      <c r="AE18" s="49">
        <v>1</v>
      </c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</row>
    <row r="19" spans="1:45" ht="18.75" x14ac:dyDescent="0.25">
      <c r="A19" s="43"/>
      <c r="B19" s="43" t="s">
        <v>1</v>
      </c>
      <c r="C19" s="68">
        <f t="shared" ref="C19:AS19" si="0">C17+C18</f>
        <v>4</v>
      </c>
      <c r="D19" s="68">
        <f t="shared" si="0"/>
        <v>2</v>
      </c>
      <c r="E19" s="68">
        <f t="shared" si="0"/>
        <v>0</v>
      </c>
      <c r="F19" s="68">
        <f t="shared" si="0"/>
        <v>0</v>
      </c>
      <c r="G19" s="68">
        <f t="shared" si="0"/>
        <v>0</v>
      </c>
      <c r="H19" s="68">
        <f t="shared" si="0"/>
        <v>2</v>
      </c>
      <c r="I19" s="68">
        <f t="shared" si="0"/>
        <v>2</v>
      </c>
      <c r="J19" s="68">
        <f t="shared" si="0"/>
        <v>0</v>
      </c>
      <c r="K19" s="68">
        <f t="shared" si="0"/>
        <v>2</v>
      </c>
      <c r="L19" s="68">
        <f t="shared" si="0"/>
        <v>2</v>
      </c>
      <c r="M19" s="68">
        <f t="shared" si="0"/>
        <v>0</v>
      </c>
      <c r="N19" s="68">
        <f t="shared" si="0"/>
        <v>0</v>
      </c>
      <c r="O19" s="68">
        <f t="shared" si="0"/>
        <v>0</v>
      </c>
      <c r="P19" s="68">
        <f t="shared" si="0"/>
        <v>0</v>
      </c>
      <c r="Q19" s="68">
        <f t="shared" si="0"/>
        <v>0</v>
      </c>
      <c r="R19" s="68">
        <f t="shared" si="0"/>
        <v>0</v>
      </c>
      <c r="S19" s="68">
        <f t="shared" si="0"/>
        <v>0</v>
      </c>
      <c r="T19" s="68">
        <f t="shared" si="0"/>
        <v>0</v>
      </c>
      <c r="U19" s="68">
        <f t="shared" si="0"/>
        <v>0</v>
      </c>
      <c r="V19" s="68">
        <f t="shared" si="0"/>
        <v>0</v>
      </c>
      <c r="W19" s="68">
        <f t="shared" si="0"/>
        <v>0</v>
      </c>
      <c r="X19" s="68">
        <f t="shared" si="0"/>
        <v>0</v>
      </c>
      <c r="Y19" s="68">
        <f t="shared" si="0"/>
        <v>0</v>
      </c>
      <c r="Z19" s="68">
        <f t="shared" si="0"/>
        <v>2</v>
      </c>
      <c r="AA19" s="68">
        <f t="shared" si="0"/>
        <v>2</v>
      </c>
      <c r="AB19" s="68">
        <f t="shared" si="0"/>
        <v>2</v>
      </c>
      <c r="AC19" s="68">
        <f t="shared" si="0"/>
        <v>2</v>
      </c>
      <c r="AD19" s="68">
        <f t="shared" si="0"/>
        <v>2</v>
      </c>
      <c r="AE19" s="68">
        <f t="shared" si="0"/>
        <v>2</v>
      </c>
      <c r="AF19" s="68">
        <f t="shared" si="0"/>
        <v>0</v>
      </c>
      <c r="AG19" s="68">
        <f t="shared" si="0"/>
        <v>0</v>
      </c>
      <c r="AH19" s="68">
        <f t="shared" si="0"/>
        <v>0</v>
      </c>
      <c r="AI19" s="68">
        <f t="shared" si="0"/>
        <v>0</v>
      </c>
      <c r="AJ19" s="68">
        <f t="shared" si="0"/>
        <v>0</v>
      </c>
      <c r="AK19" s="68">
        <f t="shared" si="0"/>
        <v>0</v>
      </c>
      <c r="AL19" s="68">
        <f t="shared" si="0"/>
        <v>0</v>
      </c>
      <c r="AM19" s="68">
        <f t="shared" si="0"/>
        <v>0</v>
      </c>
      <c r="AN19" s="68">
        <f t="shared" si="0"/>
        <v>0</v>
      </c>
      <c r="AO19" s="68">
        <f t="shared" si="0"/>
        <v>0</v>
      </c>
      <c r="AP19" s="68">
        <f t="shared" si="0"/>
        <v>0</v>
      </c>
      <c r="AQ19" s="68">
        <f t="shared" si="0"/>
        <v>0</v>
      </c>
      <c r="AR19" s="68">
        <f t="shared" si="0"/>
        <v>0</v>
      </c>
      <c r="AS19" s="68">
        <f t="shared" si="0"/>
        <v>0</v>
      </c>
    </row>
    <row r="22" spans="1:45" ht="15.75" x14ac:dyDescent="0.25">
      <c r="B22" s="63" t="s">
        <v>291</v>
      </c>
      <c r="C22" s="64" t="s">
        <v>300</v>
      </c>
      <c r="I22" s="65"/>
      <c r="J22" s="65"/>
      <c r="K22" s="65"/>
      <c r="L22" s="65"/>
      <c r="M22" s="65"/>
      <c r="N22" s="65"/>
      <c r="O22" s="65"/>
      <c r="R22" s="66"/>
      <c r="S22" s="66"/>
      <c r="T22" s="66"/>
      <c r="U22" s="66"/>
      <c r="V22" s="66"/>
      <c r="W22" s="66"/>
      <c r="X22" s="66"/>
    </row>
    <row r="23" spans="1:45" ht="15.75" x14ac:dyDescent="0.25">
      <c r="C23"/>
      <c r="K23" s="67" t="s">
        <v>293</v>
      </c>
      <c r="U23" s="64" t="s">
        <v>292</v>
      </c>
    </row>
  </sheetData>
  <mergeCells count="7">
    <mergeCell ref="A10:AS10"/>
    <mergeCell ref="A11:AS11"/>
    <mergeCell ref="A14:A15"/>
    <mergeCell ref="B14:B15"/>
    <mergeCell ref="C14:AS14"/>
    <mergeCell ref="R12:S12"/>
    <mergeCell ref="T12:U12"/>
  </mergeCells>
  <conditionalFormatting sqref="A17">
    <cfRule type="duplicateValues" dxfId="84" priority="1"/>
  </conditionalFormatting>
  <conditionalFormatting sqref="A18">
    <cfRule type="duplicateValues" dxfId="83" priority="697"/>
  </conditionalFormatting>
  <conditionalFormatting sqref="B17">
    <cfRule type="duplicateValues" dxfId="82" priority="2"/>
  </conditionalFormatting>
  <conditionalFormatting sqref="B18">
    <cfRule type="duplicateValues" dxfId="81" priority="698"/>
  </conditionalFormatting>
  <printOptions horizontalCentered="1"/>
  <pageMargins left="0.78740157480314965" right="0.39370078740157483" top="0.39370078740157483" bottom="0.39370078740157483" header="0" footer="0"/>
  <pageSetup paperSize="9" scale="3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CC"/>
    <pageSetUpPr fitToPage="1"/>
  </sheetPr>
  <dimension ref="A10:AS56"/>
  <sheetViews>
    <sheetView topLeftCell="A19" zoomScaleNormal="100" zoomScaleSheetLayoutView="100" workbookViewId="0">
      <selection activeCell="B17" sqref="B17:B50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296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 t="s">
        <v>288</v>
      </c>
      <c r="R12" s="112" t="str">
        <f>'Справочник-не смотрим!'!B1</f>
        <v>февраль</v>
      </c>
      <c r="S12" s="112"/>
      <c r="T12" s="112">
        <f>'Справочник-не смотрим!'!B2</f>
        <v>2026</v>
      </c>
      <c r="U12" s="112"/>
      <c r="V12" s="61" t="s">
        <v>289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2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38">
        <v>1</v>
      </c>
      <c r="B17" s="42" t="s">
        <v>190</v>
      </c>
      <c r="C17" s="75">
        <v>2</v>
      </c>
      <c r="D17" s="76">
        <v>1</v>
      </c>
      <c r="E17" s="76">
        <v>1</v>
      </c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>
        <v>1</v>
      </c>
      <c r="N17" s="76"/>
      <c r="O17" s="76">
        <v>1</v>
      </c>
      <c r="P17" s="76">
        <v>1</v>
      </c>
      <c r="Q17" s="76"/>
      <c r="R17" s="76"/>
      <c r="S17" s="76">
        <v>1</v>
      </c>
      <c r="T17" s="76"/>
      <c r="U17" s="76">
        <v>1</v>
      </c>
      <c r="V17" s="49">
        <v>1</v>
      </c>
      <c r="W17" s="49"/>
      <c r="X17" s="49"/>
      <c r="Y17" s="49">
        <v>1</v>
      </c>
      <c r="Z17" s="49"/>
      <c r="AA17" s="49"/>
      <c r="AB17" s="49"/>
      <c r="AC17" s="49">
        <v>1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>
        <v>1</v>
      </c>
      <c r="AO17" s="49"/>
      <c r="AP17" s="49"/>
      <c r="AQ17" s="49">
        <v>20</v>
      </c>
      <c r="AR17" s="49"/>
      <c r="AS17" s="49"/>
    </row>
    <row r="18" spans="1:45" ht="15.75" x14ac:dyDescent="0.25">
      <c r="A18" s="38">
        <v>2</v>
      </c>
      <c r="B18" s="42" t="s">
        <v>212</v>
      </c>
      <c r="C18" s="75">
        <v>2</v>
      </c>
      <c r="D18" s="76">
        <v>1</v>
      </c>
      <c r="E18" s="76">
        <v>1</v>
      </c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>
        <v>1</v>
      </c>
      <c r="N18" s="76"/>
      <c r="O18" s="76">
        <v>1</v>
      </c>
      <c r="P18" s="76">
        <v>1</v>
      </c>
      <c r="Q18" s="76"/>
      <c r="R18" s="76"/>
      <c r="S18" s="76">
        <v>1</v>
      </c>
      <c r="T18" s="76"/>
      <c r="U18" s="76">
        <v>1</v>
      </c>
      <c r="V18" s="49">
        <v>1</v>
      </c>
      <c r="W18" s="49"/>
      <c r="X18" s="49"/>
      <c r="Y18" s="49">
        <v>1</v>
      </c>
      <c r="Z18" s="49"/>
      <c r="AA18" s="49"/>
      <c r="AB18" s="49"/>
      <c r="AC18" s="49">
        <v>1</v>
      </c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>
        <v>1</v>
      </c>
      <c r="AO18" s="49"/>
      <c r="AP18" s="49"/>
      <c r="AQ18" s="49">
        <v>20</v>
      </c>
      <c r="AR18" s="49"/>
      <c r="AS18" s="49"/>
    </row>
    <row r="19" spans="1:45" ht="15.75" x14ac:dyDescent="0.25">
      <c r="A19" s="38">
        <v>3</v>
      </c>
      <c r="B19" s="42" t="s">
        <v>192</v>
      </c>
      <c r="C19" s="75">
        <v>2</v>
      </c>
      <c r="D19" s="76">
        <v>1</v>
      </c>
      <c r="E19" s="76">
        <v>1</v>
      </c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>
        <v>1</v>
      </c>
      <c r="N19" s="76"/>
      <c r="O19" s="76">
        <v>1</v>
      </c>
      <c r="P19" s="76">
        <v>1</v>
      </c>
      <c r="Q19" s="76"/>
      <c r="R19" s="76"/>
      <c r="S19" s="76">
        <v>1</v>
      </c>
      <c r="T19" s="76"/>
      <c r="U19" s="76">
        <v>1</v>
      </c>
      <c r="V19" s="49">
        <v>1</v>
      </c>
      <c r="W19" s="49"/>
      <c r="X19" s="49"/>
      <c r="Y19" s="49">
        <v>1</v>
      </c>
      <c r="Z19" s="49"/>
      <c r="AA19" s="49"/>
      <c r="AB19" s="49"/>
      <c r="AC19" s="49">
        <v>1</v>
      </c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>
        <v>1</v>
      </c>
      <c r="AO19" s="49"/>
      <c r="AP19" s="49"/>
      <c r="AQ19" s="49">
        <v>20</v>
      </c>
      <c r="AR19" s="49"/>
      <c r="AS19" s="49"/>
    </row>
    <row r="20" spans="1:45" ht="15.75" x14ac:dyDescent="0.25">
      <c r="A20" s="38">
        <v>4</v>
      </c>
      <c r="B20" s="42" t="s">
        <v>196</v>
      </c>
      <c r="C20" s="75">
        <v>2</v>
      </c>
      <c r="D20" s="76">
        <v>1</v>
      </c>
      <c r="E20" s="76">
        <v>1</v>
      </c>
      <c r="F20" s="76"/>
      <c r="G20" s="76">
        <v>5</v>
      </c>
      <c r="H20" s="76">
        <v>1</v>
      </c>
      <c r="I20" s="76">
        <v>1</v>
      </c>
      <c r="J20" s="76"/>
      <c r="K20" s="76">
        <v>1</v>
      </c>
      <c r="L20" s="76">
        <v>1</v>
      </c>
      <c r="M20" s="76">
        <v>1</v>
      </c>
      <c r="N20" s="76"/>
      <c r="O20" s="76">
        <v>1</v>
      </c>
      <c r="P20" s="76">
        <v>1</v>
      </c>
      <c r="Q20" s="76"/>
      <c r="R20" s="76"/>
      <c r="S20" s="76">
        <v>1</v>
      </c>
      <c r="T20" s="76"/>
      <c r="U20" s="76">
        <v>1</v>
      </c>
      <c r="V20" s="49">
        <v>1</v>
      </c>
      <c r="W20" s="49"/>
      <c r="X20" s="49"/>
      <c r="Y20" s="49">
        <v>1</v>
      </c>
      <c r="Z20" s="49"/>
      <c r="AA20" s="49"/>
      <c r="AB20" s="49"/>
      <c r="AC20" s="49">
        <v>1</v>
      </c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>
        <v>1</v>
      </c>
      <c r="AO20" s="49"/>
      <c r="AP20" s="49"/>
      <c r="AQ20" s="49"/>
      <c r="AR20" s="49"/>
      <c r="AS20" s="49"/>
    </row>
    <row r="21" spans="1:45" ht="15.75" x14ac:dyDescent="0.25">
      <c r="A21" s="38">
        <v>5</v>
      </c>
      <c r="B21" s="42" t="s">
        <v>195</v>
      </c>
      <c r="C21" s="75">
        <v>2</v>
      </c>
      <c r="D21" s="76">
        <v>1</v>
      </c>
      <c r="E21" s="76">
        <v>1</v>
      </c>
      <c r="F21" s="76"/>
      <c r="G21" s="76">
        <v>5</v>
      </c>
      <c r="H21" s="76">
        <v>1</v>
      </c>
      <c r="I21" s="76">
        <v>1</v>
      </c>
      <c r="J21" s="76"/>
      <c r="K21" s="76">
        <v>1</v>
      </c>
      <c r="L21" s="76">
        <v>1</v>
      </c>
      <c r="M21" s="76">
        <v>1</v>
      </c>
      <c r="N21" s="76"/>
      <c r="O21" s="76">
        <v>1</v>
      </c>
      <c r="P21" s="76">
        <v>1</v>
      </c>
      <c r="Q21" s="76"/>
      <c r="R21" s="76"/>
      <c r="S21" s="76">
        <v>1</v>
      </c>
      <c r="T21" s="76"/>
      <c r="U21" s="76">
        <v>1</v>
      </c>
      <c r="V21" s="49">
        <v>1</v>
      </c>
      <c r="W21" s="49"/>
      <c r="X21" s="49"/>
      <c r="Y21" s="49">
        <v>1</v>
      </c>
      <c r="Z21" s="49"/>
      <c r="AA21" s="49"/>
      <c r="AB21" s="49"/>
      <c r="AC21" s="49">
        <v>1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>
        <v>1</v>
      </c>
      <c r="AO21" s="49"/>
      <c r="AP21" s="49"/>
      <c r="AQ21" s="49"/>
      <c r="AR21" s="49"/>
      <c r="AS21" s="49"/>
    </row>
    <row r="22" spans="1:45" ht="15.75" x14ac:dyDescent="0.25">
      <c r="A22" s="38">
        <v>6</v>
      </c>
      <c r="B22" s="42" t="s">
        <v>197</v>
      </c>
      <c r="C22" s="75">
        <v>2</v>
      </c>
      <c r="D22" s="76">
        <v>1</v>
      </c>
      <c r="E22" s="76">
        <v>1</v>
      </c>
      <c r="F22" s="76"/>
      <c r="G22" s="76">
        <v>5</v>
      </c>
      <c r="H22" s="76">
        <v>1</v>
      </c>
      <c r="I22" s="76">
        <v>1</v>
      </c>
      <c r="J22" s="76"/>
      <c r="K22" s="76">
        <v>1</v>
      </c>
      <c r="L22" s="76">
        <v>1</v>
      </c>
      <c r="M22" s="76">
        <v>1</v>
      </c>
      <c r="N22" s="76"/>
      <c r="O22" s="76">
        <v>1</v>
      </c>
      <c r="P22" s="76">
        <v>1</v>
      </c>
      <c r="Q22" s="76"/>
      <c r="R22" s="76"/>
      <c r="S22" s="76">
        <v>1</v>
      </c>
      <c r="T22" s="76"/>
      <c r="U22" s="76">
        <v>1</v>
      </c>
      <c r="V22" s="49">
        <v>1</v>
      </c>
      <c r="W22" s="49"/>
      <c r="X22" s="49"/>
      <c r="Y22" s="49">
        <v>1</v>
      </c>
      <c r="Z22" s="49"/>
      <c r="AA22" s="49"/>
      <c r="AB22" s="49"/>
      <c r="AC22" s="49">
        <v>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>
        <v>1</v>
      </c>
      <c r="AO22" s="49"/>
      <c r="AP22" s="49"/>
      <c r="AQ22" s="49">
        <v>20</v>
      </c>
      <c r="AR22" s="49"/>
      <c r="AS22" s="49"/>
    </row>
    <row r="23" spans="1:45" ht="15.75" x14ac:dyDescent="0.25">
      <c r="A23" s="38">
        <v>7</v>
      </c>
      <c r="B23" s="42" t="s">
        <v>198</v>
      </c>
      <c r="C23" s="75">
        <v>2</v>
      </c>
      <c r="D23" s="76">
        <v>1</v>
      </c>
      <c r="E23" s="76">
        <v>1</v>
      </c>
      <c r="F23" s="76"/>
      <c r="G23" s="76">
        <v>5</v>
      </c>
      <c r="H23" s="76">
        <v>1</v>
      </c>
      <c r="I23" s="76">
        <v>1</v>
      </c>
      <c r="J23" s="76"/>
      <c r="K23" s="76">
        <v>1</v>
      </c>
      <c r="L23" s="76">
        <v>1</v>
      </c>
      <c r="M23" s="76">
        <v>1</v>
      </c>
      <c r="N23" s="76"/>
      <c r="O23" s="76">
        <v>1</v>
      </c>
      <c r="P23" s="76">
        <v>1</v>
      </c>
      <c r="Q23" s="76"/>
      <c r="R23" s="76"/>
      <c r="S23" s="76">
        <v>1</v>
      </c>
      <c r="T23" s="76"/>
      <c r="U23" s="76">
        <v>1</v>
      </c>
      <c r="V23" s="49">
        <v>1</v>
      </c>
      <c r="W23" s="49"/>
      <c r="X23" s="49"/>
      <c r="Y23" s="49">
        <v>1</v>
      </c>
      <c r="Z23" s="49"/>
      <c r="AA23" s="49"/>
      <c r="AB23" s="49"/>
      <c r="AC23" s="49">
        <v>1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>
        <v>1</v>
      </c>
      <c r="AO23" s="49"/>
      <c r="AP23" s="49"/>
      <c r="AQ23" s="49">
        <v>20</v>
      </c>
      <c r="AR23" s="49"/>
      <c r="AS23" s="49"/>
    </row>
    <row r="24" spans="1:45" ht="15.75" x14ac:dyDescent="0.25">
      <c r="A24" s="38">
        <v>8</v>
      </c>
      <c r="B24" s="42" t="s">
        <v>199</v>
      </c>
      <c r="C24" s="75">
        <v>2</v>
      </c>
      <c r="D24" s="76">
        <v>1</v>
      </c>
      <c r="E24" s="76">
        <v>1</v>
      </c>
      <c r="F24" s="76"/>
      <c r="G24" s="76">
        <v>5</v>
      </c>
      <c r="H24" s="76">
        <v>1</v>
      </c>
      <c r="I24" s="76">
        <v>1</v>
      </c>
      <c r="J24" s="76"/>
      <c r="K24" s="76">
        <v>1</v>
      </c>
      <c r="L24" s="76">
        <v>1</v>
      </c>
      <c r="M24" s="76">
        <v>1</v>
      </c>
      <c r="N24" s="76"/>
      <c r="O24" s="76">
        <v>1</v>
      </c>
      <c r="P24" s="76">
        <v>1</v>
      </c>
      <c r="Q24" s="76"/>
      <c r="R24" s="76"/>
      <c r="S24" s="76">
        <v>1</v>
      </c>
      <c r="T24" s="76"/>
      <c r="U24" s="76">
        <v>1</v>
      </c>
      <c r="V24" s="49">
        <v>1</v>
      </c>
      <c r="W24" s="49"/>
      <c r="X24" s="49"/>
      <c r="Y24" s="49">
        <v>1</v>
      </c>
      <c r="Z24" s="49"/>
      <c r="AA24" s="49"/>
      <c r="AB24" s="49"/>
      <c r="AC24" s="49">
        <v>1</v>
      </c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>
        <v>1</v>
      </c>
      <c r="AO24" s="49"/>
      <c r="AP24" s="49"/>
      <c r="AQ24" s="49"/>
      <c r="AR24" s="49"/>
      <c r="AS24" s="49"/>
    </row>
    <row r="25" spans="1:45" ht="15.75" x14ac:dyDescent="0.25">
      <c r="A25" s="38">
        <v>9</v>
      </c>
      <c r="B25" s="42" t="s">
        <v>202</v>
      </c>
      <c r="C25" s="75">
        <v>2</v>
      </c>
      <c r="D25" s="76">
        <v>1</v>
      </c>
      <c r="E25" s="76">
        <v>1</v>
      </c>
      <c r="F25" s="76"/>
      <c r="G25" s="76">
        <v>5</v>
      </c>
      <c r="H25" s="76">
        <v>1</v>
      </c>
      <c r="I25" s="76">
        <v>1</v>
      </c>
      <c r="J25" s="76"/>
      <c r="K25" s="76">
        <v>1</v>
      </c>
      <c r="L25" s="76">
        <v>1</v>
      </c>
      <c r="M25" s="76">
        <v>1</v>
      </c>
      <c r="N25" s="76"/>
      <c r="O25" s="76">
        <v>1</v>
      </c>
      <c r="P25" s="76">
        <v>1</v>
      </c>
      <c r="Q25" s="76"/>
      <c r="R25" s="76"/>
      <c r="S25" s="76">
        <v>1</v>
      </c>
      <c r="T25" s="76"/>
      <c r="U25" s="76">
        <v>1</v>
      </c>
      <c r="V25" s="49">
        <v>1</v>
      </c>
      <c r="W25" s="49"/>
      <c r="X25" s="49"/>
      <c r="Y25" s="49">
        <v>1</v>
      </c>
      <c r="Z25" s="49"/>
      <c r="AA25" s="49"/>
      <c r="AB25" s="49"/>
      <c r="AC25" s="49">
        <v>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>
        <v>1</v>
      </c>
      <c r="AO25" s="49"/>
      <c r="AP25" s="49"/>
      <c r="AQ25" s="49"/>
      <c r="AR25" s="49"/>
      <c r="AS25" s="49"/>
    </row>
    <row r="26" spans="1:45" ht="15.75" x14ac:dyDescent="0.25">
      <c r="A26" s="38">
        <v>10</v>
      </c>
      <c r="B26" s="42" t="s">
        <v>203</v>
      </c>
      <c r="C26" s="75">
        <v>2</v>
      </c>
      <c r="D26" s="76">
        <v>1</v>
      </c>
      <c r="E26" s="76">
        <v>1</v>
      </c>
      <c r="F26" s="76"/>
      <c r="G26" s="76">
        <v>5</v>
      </c>
      <c r="H26" s="76">
        <v>1</v>
      </c>
      <c r="I26" s="76">
        <v>1</v>
      </c>
      <c r="J26" s="76"/>
      <c r="K26" s="76">
        <v>1</v>
      </c>
      <c r="L26" s="76">
        <v>1</v>
      </c>
      <c r="M26" s="76">
        <v>1</v>
      </c>
      <c r="N26" s="76"/>
      <c r="O26" s="76">
        <v>1</v>
      </c>
      <c r="P26" s="76">
        <v>1</v>
      </c>
      <c r="Q26" s="76"/>
      <c r="R26" s="76"/>
      <c r="S26" s="76">
        <v>1</v>
      </c>
      <c r="T26" s="76"/>
      <c r="U26" s="76">
        <v>1</v>
      </c>
      <c r="V26" s="49">
        <v>1</v>
      </c>
      <c r="W26" s="49"/>
      <c r="X26" s="49"/>
      <c r="Y26" s="49">
        <v>1</v>
      </c>
      <c r="Z26" s="49"/>
      <c r="AA26" s="49"/>
      <c r="AB26" s="49"/>
      <c r="AC26" s="49">
        <v>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>
        <v>1</v>
      </c>
      <c r="AO26" s="49"/>
      <c r="AP26" s="49"/>
      <c r="AQ26" s="49"/>
      <c r="AR26" s="49"/>
      <c r="AS26" s="49"/>
    </row>
    <row r="27" spans="1:45" ht="23.25" customHeight="1" x14ac:dyDescent="0.25">
      <c r="A27" s="38">
        <v>11</v>
      </c>
      <c r="B27" s="42" t="s">
        <v>204</v>
      </c>
      <c r="C27" s="75">
        <v>2</v>
      </c>
      <c r="D27" s="76">
        <v>1</v>
      </c>
      <c r="E27" s="76">
        <v>1</v>
      </c>
      <c r="F27" s="76"/>
      <c r="G27" s="76">
        <v>5</v>
      </c>
      <c r="H27" s="76">
        <v>1</v>
      </c>
      <c r="I27" s="76">
        <v>1</v>
      </c>
      <c r="J27" s="76"/>
      <c r="K27" s="76">
        <v>1</v>
      </c>
      <c r="L27" s="76">
        <v>1</v>
      </c>
      <c r="M27" s="76">
        <v>1</v>
      </c>
      <c r="N27" s="76"/>
      <c r="O27" s="76">
        <v>1</v>
      </c>
      <c r="P27" s="76">
        <v>1</v>
      </c>
      <c r="Q27" s="76"/>
      <c r="R27" s="76"/>
      <c r="S27" s="76">
        <v>1</v>
      </c>
      <c r="T27" s="76"/>
      <c r="U27" s="76">
        <v>1</v>
      </c>
      <c r="V27" s="49">
        <v>1</v>
      </c>
      <c r="W27" s="49"/>
      <c r="X27" s="49"/>
      <c r="Y27" s="49">
        <v>1</v>
      </c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>
        <v>1</v>
      </c>
      <c r="AO27" s="49"/>
      <c r="AP27" s="49"/>
      <c r="AQ27" s="49"/>
      <c r="AR27" s="49"/>
      <c r="AS27" s="49"/>
    </row>
    <row r="28" spans="1:45" ht="15.75" x14ac:dyDescent="0.25">
      <c r="A28" s="38">
        <v>12</v>
      </c>
      <c r="B28" s="42" t="s">
        <v>205</v>
      </c>
      <c r="C28" s="75">
        <v>2</v>
      </c>
      <c r="D28" s="76">
        <v>1</v>
      </c>
      <c r="E28" s="76">
        <v>1</v>
      </c>
      <c r="F28" s="76"/>
      <c r="G28" s="76">
        <v>5</v>
      </c>
      <c r="H28" s="76">
        <v>1</v>
      </c>
      <c r="I28" s="76">
        <v>1</v>
      </c>
      <c r="J28" s="76"/>
      <c r="K28" s="76">
        <v>1</v>
      </c>
      <c r="L28" s="76">
        <v>1</v>
      </c>
      <c r="M28" s="76">
        <v>1</v>
      </c>
      <c r="N28" s="76"/>
      <c r="O28" s="76">
        <v>1</v>
      </c>
      <c r="P28" s="76">
        <v>1</v>
      </c>
      <c r="Q28" s="76"/>
      <c r="R28" s="76"/>
      <c r="S28" s="76">
        <v>1</v>
      </c>
      <c r="T28" s="76"/>
      <c r="U28" s="76">
        <v>1</v>
      </c>
      <c r="V28" s="49">
        <v>1</v>
      </c>
      <c r="W28" s="49"/>
      <c r="X28" s="49"/>
      <c r="Y28" s="49">
        <v>1</v>
      </c>
      <c r="Z28" s="49"/>
      <c r="AA28" s="49"/>
      <c r="AB28" s="49"/>
      <c r="AC28" s="49">
        <v>1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>
        <v>1</v>
      </c>
      <c r="AO28" s="49"/>
      <c r="AP28" s="49"/>
      <c r="AQ28" s="49"/>
      <c r="AR28" s="49"/>
      <c r="AS28" s="49"/>
    </row>
    <row r="29" spans="1:45" ht="15.75" x14ac:dyDescent="0.25">
      <c r="A29" s="38">
        <v>13</v>
      </c>
      <c r="B29" s="42" t="s">
        <v>206</v>
      </c>
      <c r="C29" s="75">
        <v>2</v>
      </c>
      <c r="D29" s="76">
        <v>1</v>
      </c>
      <c r="E29" s="76">
        <v>1</v>
      </c>
      <c r="F29" s="76"/>
      <c r="G29" s="76">
        <v>5</v>
      </c>
      <c r="H29" s="76">
        <v>1</v>
      </c>
      <c r="I29" s="76">
        <v>1</v>
      </c>
      <c r="J29" s="76"/>
      <c r="K29" s="76">
        <v>1</v>
      </c>
      <c r="L29" s="76">
        <v>1</v>
      </c>
      <c r="M29" s="76">
        <v>1</v>
      </c>
      <c r="N29" s="76"/>
      <c r="O29" s="76">
        <v>1</v>
      </c>
      <c r="P29" s="76">
        <v>1</v>
      </c>
      <c r="Q29" s="76"/>
      <c r="R29" s="76"/>
      <c r="S29" s="76">
        <v>1</v>
      </c>
      <c r="T29" s="76"/>
      <c r="U29" s="76">
        <v>1</v>
      </c>
      <c r="V29" s="49">
        <v>1</v>
      </c>
      <c r="W29" s="49"/>
      <c r="X29" s="49"/>
      <c r="Y29" s="49">
        <v>1</v>
      </c>
      <c r="Z29" s="49"/>
      <c r="AA29" s="49"/>
      <c r="AB29" s="49"/>
      <c r="AC29" s="49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>
        <v>1</v>
      </c>
      <c r="AO29" s="49"/>
      <c r="AP29" s="49"/>
      <c r="AQ29" s="49">
        <v>20</v>
      </c>
      <c r="AR29" s="49"/>
      <c r="AS29" s="49"/>
    </row>
    <row r="30" spans="1:45" ht="15.75" x14ac:dyDescent="0.25">
      <c r="A30" s="38">
        <v>14</v>
      </c>
      <c r="B30" s="42" t="s">
        <v>207</v>
      </c>
      <c r="C30" s="75">
        <v>2</v>
      </c>
      <c r="D30" s="76">
        <v>1</v>
      </c>
      <c r="E30" s="76">
        <v>1</v>
      </c>
      <c r="F30" s="76"/>
      <c r="G30" s="76">
        <v>5</v>
      </c>
      <c r="H30" s="76">
        <v>1</v>
      </c>
      <c r="I30" s="76">
        <v>1</v>
      </c>
      <c r="J30" s="76"/>
      <c r="K30" s="76">
        <v>1</v>
      </c>
      <c r="L30" s="76">
        <v>1</v>
      </c>
      <c r="M30" s="76">
        <v>1</v>
      </c>
      <c r="N30" s="76"/>
      <c r="O30" s="76">
        <v>1</v>
      </c>
      <c r="P30" s="76">
        <v>1</v>
      </c>
      <c r="Q30" s="76"/>
      <c r="R30" s="76"/>
      <c r="S30" s="76">
        <v>1</v>
      </c>
      <c r="T30" s="76"/>
      <c r="U30" s="76">
        <v>1</v>
      </c>
      <c r="V30" s="49">
        <v>1</v>
      </c>
      <c r="W30" s="49"/>
      <c r="X30" s="49"/>
      <c r="Y30" s="49">
        <v>1</v>
      </c>
      <c r="Z30" s="49"/>
      <c r="AA30" s="49"/>
      <c r="AB30" s="49"/>
      <c r="AC30" s="49">
        <v>1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>
        <v>1</v>
      </c>
      <c r="AO30" s="49"/>
      <c r="AP30" s="49"/>
      <c r="AQ30" s="49">
        <v>20</v>
      </c>
      <c r="AR30" s="49"/>
      <c r="AS30" s="49"/>
    </row>
    <row r="31" spans="1:45" ht="15.75" x14ac:dyDescent="0.25">
      <c r="A31" s="38">
        <v>15</v>
      </c>
      <c r="B31" s="42" t="s">
        <v>208</v>
      </c>
      <c r="C31" s="75">
        <v>2</v>
      </c>
      <c r="D31" s="76">
        <v>1</v>
      </c>
      <c r="E31" s="76">
        <v>1</v>
      </c>
      <c r="F31" s="76"/>
      <c r="G31" s="76">
        <v>5</v>
      </c>
      <c r="H31" s="76">
        <v>1</v>
      </c>
      <c r="I31" s="76">
        <v>1</v>
      </c>
      <c r="J31" s="76"/>
      <c r="K31" s="76">
        <v>1</v>
      </c>
      <c r="L31" s="76">
        <v>1</v>
      </c>
      <c r="M31" s="76">
        <v>1</v>
      </c>
      <c r="N31" s="76"/>
      <c r="O31" s="76">
        <v>1</v>
      </c>
      <c r="P31" s="76">
        <v>1</v>
      </c>
      <c r="Q31" s="76"/>
      <c r="R31" s="76"/>
      <c r="S31" s="76">
        <v>1</v>
      </c>
      <c r="T31" s="76"/>
      <c r="U31" s="76">
        <v>1</v>
      </c>
      <c r="V31" s="49">
        <v>1</v>
      </c>
      <c r="W31" s="49"/>
      <c r="X31" s="49"/>
      <c r="Y31" s="49">
        <v>1</v>
      </c>
      <c r="Z31" s="49"/>
      <c r="AA31" s="49"/>
      <c r="AB31" s="49"/>
      <c r="AC31" s="49">
        <v>1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>
        <v>1</v>
      </c>
      <c r="AO31" s="49"/>
      <c r="AP31" s="49"/>
      <c r="AQ31" s="49">
        <v>20</v>
      </c>
      <c r="AR31" s="49"/>
      <c r="AS31" s="49"/>
    </row>
    <row r="32" spans="1:45" ht="15.75" x14ac:dyDescent="0.25">
      <c r="A32" s="38">
        <v>16</v>
      </c>
      <c r="B32" s="42" t="s">
        <v>209</v>
      </c>
      <c r="C32" s="75">
        <v>2</v>
      </c>
      <c r="D32" s="76">
        <v>1</v>
      </c>
      <c r="E32" s="76">
        <v>1</v>
      </c>
      <c r="F32" s="76"/>
      <c r="G32" s="76">
        <v>5</v>
      </c>
      <c r="H32" s="76">
        <v>1</v>
      </c>
      <c r="I32" s="76">
        <v>1</v>
      </c>
      <c r="J32" s="76"/>
      <c r="K32" s="76">
        <v>1</v>
      </c>
      <c r="L32" s="76">
        <v>1</v>
      </c>
      <c r="M32" s="76">
        <v>1</v>
      </c>
      <c r="N32" s="76"/>
      <c r="O32" s="76">
        <v>1</v>
      </c>
      <c r="P32" s="76">
        <v>1</v>
      </c>
      <c r="Q32" s="76"/>
      <c r="R32" s="76"/>
      <c r="S32" s="76">
        <v>1</v>
      </c>
      <c r="T32" s="76"/>
      <c r="U32" s="76">
        <v>1</v>
      </c>
      <c r="V32" s="49">
        <v>1</v>
      </c>
      <c r="W32" s="49"/>
      <c r="X32" s="49"/>
      <c r="Y32" s="49">
        <v>1</v>
      </c>
      <c r="Z32" s="49"/>
      <c r="AA32" s="49"/>
      <c r="AB32" s="49"/>
      <c r="AC32" s="49">
        <v>1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>
        <v>1</v>
      </c>
      <c r="AO32" s="49"/>
      <c r="AP32" s="49"/>
      <c r="AQ32" s="49">
        <v>20</v>
      </c>
      <c r="AR32" s="49"/>
      <c r="AS32" s="49"/>
    </row>
    <row r="33" spans="1:45" ht="15.75" x14ac:dyDescent="0.25">
      <c r="A33" s="38">
        <v>17</v>
      </c>
      <c r="B33" s="42" t="s">
        <v>152</v>
      </c>
      <c r="C33" s="75">
        <v>2</v>
      </c>
      <c r="D33" s="76">
        <v>1</v>
      </c>
      <c r="E33" s="76">
        <v>1</v>
      </c>
      <c r="F33" s="76"/>
      <c r="G33" s="76">
        <v>5</v>
      </c>
      <c r="H33" s="76">
        <v>1</v>
      </c>
      <c r="I33" s="76">
        <v>1</v>
      </c>
      <c r="J33" s="76"/>
      <c r="K33" s="76">
        <v>1</v>
      </c>
      <c r="L33" s="76">
        <v>1</v>
      </c>
      <c r="M33" s="76">
        <v>1</v>
      </c>
      <c r="N33" s="76"/>
      <c r="O33" s="76">
        <v>1</v>
      </c>
      <c r="P33" s="76">
        <v>1</v>
      </c>
      <c r="Q33" s="76"/>
      <c r="R33" s="76"/>
      <c r="S33" s="76">
        <v>1</v>
      </c>
      <c r="T33" s="76"/>
      <c r="U33" s="76">
        <v>1</v>
      </c>
      <c r="V33" s="49">
        <v>1</v>
      </c>
      <c r="W33" s="49"/>
      <c r="X33" s="49"/>
      <c r="Y33" s="49">
        <v>1</v>
      </c>
      <c r="Z33" s="49"/>
      <c r="AA33" s="49"/>
      <c r="AB33" s="49"/>
      <c r="AC33" s="49">
        <v>1</v>
      </c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>
        <v>1</v>
      </c>
      <c r="AO33" s="49"/>
      <c r="AP33" s="49"/>
      <c r="AQ33" s="49">
        <v>20</v>
      </c>
      <c r="AR33" s="49"/>
      <c r="AS33" s="49"/>
    </row>
    <row r="34" spans="1:45" ht="15.75" x14ac:dyDescent="0.25">
      <c r="A34" s="38">
        <v>18</v>
      </c>
      <c r="B34" s="42" t="s">
        <v>327</v>
      </c>
      <c r="C34" s="75">
        <v>2</v>
      </c>
      <c r="D34" s="76">
        <v>1</v>
      </c>
      <c r="E34" s="76">
        <v>1</v>
      </c>
      <c r="F34" s="76"/>
      <c r="G34" s="76">
        <v>5</v>
      </c>
      <c r="H34" s="76">
        <v>1</v>
      </c>
      <c r="I34" s="76">
        <v>1</v>
      </c>
      <c r="J34" s="76"/>
      <c r="K34" s="76">
        <v>1</v>
      </c>
      <c r="L34" s="76">
        <v>1</v>
      </c>
      <c r="M34" s="76">
        <v>1</v>
      </c>
      <c r="N34" s="76"/>
      <c r="O34" s="76">
        <v>1</v>
      </c>
      <c r="P34" s="76">
        <v>1</v>
      </c>
      <c r="Q34" s="76"/>
      <c r="R34" s="76"/>
      <c r="S34" s="76">
        <v>1</v>
      </c>
      <c r="T34" s="76"/>
      <c r="U34" s="76">
        <v>1</v>
      </c>
      <c r="V34" s="49">
        <v>1</v>
      </c>
      <c r="W34" s="49"/>
      <c r="X34" s="49"/>
      <c r="Y34" s="49">
        <v>1</v>
      </c>
      <c r="Z34" s="49"/>
      <c r="AA34" s="49"/>
      <c r="AB34" s="49"/>
      <c r="AC34" s="49">
        <v>1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>
        <v>1</v>
      </c>
      <c r="AO34" s="49"/>
      <c r="AP34" s="49"/>
      <c r="AQ34" s="49"/>
      <c r="AR34" s="49"/>
      <c r="AS34" s="49"/>
    </row>
    <row r="35" spans="1:45" ht="15.75" x14ac:dyDescent="0.25">
      <c r="A35" s="38">
        <v>19</v>
      </c>
      <c r="B35" s="42" t="s">
        <v>210</v>
      </c>
      <c r="C35" s="75">
        <v>2</v>
      </c>
      <c r="D35" s="76">
        <v>1</v>
      </c>
      <c r="E35" s="76">
        <v>1</v>
      </c>
      <c r="F35" s="76"/>
      <c r="G35" s="76">
        <v>5</v>
      </c>
      <c r="H35" s="76">
        <v>1</v>
      </c>
      <c r="I35" s="76">
        <v>1</v>
      </c>
      <c r="J35" s="76"/>
      <c r="K35" s="76">
        <v>1</v>
      </c>
      <c r="L35" s="76">
        <v>1</v>
      </c>
      <c r="M35" s="76">
        <v>1</v>
      </c>
      <c r="N35" s="76"/>
      <c r="O35" s="76">
        <v>1</v>
      </c>
      <c r="P35" s="76">
        <v>1</v>
      </c>
      <c r="Q35" s="76"/>
      <c r="R35" s="76"/>
      <c r="S35" s="76">
        <v>1</v>
      </c>
      <c r="T35" s="76"/>
      <c r="U35" s="76">
        <v>1</v>
      </c>
      <c r="V35" s="49">
        <v>1</v>
      </c>
      <c r="W35" s="49"/>
      <c r="X35" s="49"/>
      <c r="Y35" s="49">
        <v>1</v>
      </c>
      <c r="Z35" s="49"/>
      <c r="AA35" s="49"/>
      <c r="AB35" s="49"/>
      <c r="AC35" s="49">
        <v>1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>
        <v>1</v>
      </c>
      <c r="AO35" s="49"/>
      <c r="AP35" s="49"/>
      <c r="AQ35" s="49">
        <v>20</v>
      </c>
      <c r="AR35" s="49"/>
      <c r="AS35" s="49"/>
    </row>
    <row r="36" spans="1:45" ht="15.75" x14ac:dyDescent="0.25">
      <c r="A36" s="38">
        <v>20</v>
      </c>
      <c r="B36" s="42" t="s">
        <v>337</v>
      </c>
      <c r="C36" s="75">
        <v>2</v>
      </c>
      <c r="D36" s="76">
        <v>1</v>
      </c>
      <c r="E36" s="76">
        <v>1</v>
      </c>
      <c r="F36" s="76"/>
      <c r="G36" s="76">
        <v>5</v>
      </c>
      <c r="H36" s="76">
        <v>1</v>
      </c>
      <c r="I36" s="76">
        <v>1</v>
      </c>
      <c r="J36" s="76"/>
      <c r="K36" s="76">
        <v>1</v>
      </c>
      <c r="L36" s="76">
        <v>1</v>
      </c>
      <c r="M36" s="76">
        <v>1</v>
      </c>
      <c r="N36" s="76"/>
      <c r="O36" s="76">
        <v>1</v>
      </c>
      <c r="P36" s="76">
        <v>1</v>
      </c>
      <c r="Q36" s="76"/>
      <c r="R36" s="76"/>
      <c r="S36" s="76">
        <v>1</v>
      </c>
      <c r="T36" s="76"/>
      <c r="U36" s="76">
        <v>1</v>
      </c>
      <c r="V36" s="49">
        <v>1</v>
      </c>
      <c r="W36" s="49"/>
      <c r="X36" s="49"/>
      <c r="Y36" s="49">
        <v>1</v>
      </c>
      <c r="Z36" s="49"/>
      <c r="AA36" s="49"/>
      <c r="AB36" s="49"/>
      <c r="AC36" s="49">
        <v>1</v>
      </c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>
        <v>1</v>
      </c>
      <c r="AO36" s="49"/>
      <c r="AP36" s="49"/>
      <c r="AQ36" s="49">
        <v>20</v>
      </c>
      <c r="AR36" s="49"/>
      <c r="AS36" s="49"/>
    </row>
    <row r="37" spans="1:45" ht="15.75" x14ac:dyDescent="0.25">
      <c r="A37" s="38">
        <v>21</v>
      </c>
      <c r="B37" s="42" t="s">
        <v>338</v>
      </c>
      <c r="C37" s="75">
        <v>2</v>
      </c>
      <c r="D37" s="76">
        <v>1</v>
      </c>
      <c r="E37" s="76">
        <v>1</v>
      </c>
      <c r="F37" s="76"/>
      <c r="G37" s="76">
        <v>5</v>
      </c>
      <c r="H37" s="76">
        <v>1</v>
      </c>
      <c r="I37" s="76">
        <v>1</v>
      </c>
      <c r="J37" s="76"/>
      <c r="K37" s="76">
        <v>1</v>
      </c>
      <c r="L37" s="76">
        <v>1</v>
      </c>
      <c r="M37" s="76">
        <v>1</v>
      </c>
      <c r="N37" s="76"/>
      <c r="O37" s="76">
        <v>1</v>
      </c>
      <c r="P37" s="76">
        <v>1</v>
      </c>
      <c r="Q37" s="76"/>
      <c r="R37" s="76"/>
      <c r="S37" s="76">
        <v>1</v>
      </c>
      <c r="T37" s="76"/>
      <c r="U37" s="76">
        <v>1</v>
      </c>
      <c r="V37" s="49">
        <v>1</v>
      </c>
      <c r="W37" s="49"/>
      <c r="X37" s="49"/>
      <c r="Y37" s="49">
        <v>1</v>
      </c>
      <c r="Z37" s="49"/>
      <c r="AA37" s="49"/>
      <c r="AB37" s="49"/>
      <c r="AC37" s="49">
        <v>1</v>
      </c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>
        <v>1</v>
      </c>
      <c r="AO37" s="49"/>
      <c r="AP37" s="49"/>
      <c r="AQ37" s="49">
        <v>20</v>
      </c>
      <c r="AR37" s="49"/>
      <c r="AS37" s="49"/>
    </row>
    <row r="38" spans="1:45" ht="15.75" x14ac:dyDescent="0.25">
      <c r="A38" s="38">
        <v>22</v>
      </c>
      <c r="B38" s="42" t="s">
        <v>339</v>
      </c>
      <c r="C38" s="75">
        <v>2</v>
      </c>
      <c r="D38" s="76">
        <v>1</v>
      </c>
      <c r="E38" s="76">
        <v>1</v>
      </c>
      <c r="F38" s="76"/>
      <c r="G38" s="76">
        <v>5</v>
      </c>
      <c r="H38" s="76">
        <v>1</v>
      </c>
      <c r="I38" s="76">
        <v>1</v>
      </c>
      <c r="J38" s="76"/>
      <c r="K38" s="76">
        <v>1</v>
      </c>
      <c r="L38" s="76">
        <v>1</v>
      </c>
      <c r="M38" s="76">
        <v>1</v>
      </c>
      <c r="N38" s="76"/>
      <c r="O38" s="76">
        <v>1</v>
      </c>
      <c r="P38" s="76">
        <v>1</v>
      </c>
      <c r="Q38" s="76"/>
      <c r="R38" s="76"/>
      <c r="S38" s="76">
        <v>1</v>
      </c>
      <c r="T38" s="76"/>
      <c r="U38" s="76">
        <v>1</v>
      </c>
      <c r="V38" s="49">
        <v>1</v>
      </c>
      <c r="W38" s="49"/>
      <c r="X38" s="49"/>
      <c r="Y38" s="49">
        <v>1</v>
      </c>
      <c r="Z38" s="49"/>
      <c r="AA38" s="49"/>
      <c r="AB38" s="49"/>
      <c r="AC38" s="49">
        <v>1</v>
      </c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>
        <v>1</v>
      </c>
      <c r="AO38" s="49"/>
      <c r="AP38" s="49"/>
      <c r="AQ38" s="49">
        <v>20</v>
      </c>
      <c r="AR38" s="49"/>
      <c r="AS38" s="49"/>
    </row>
    <row r="39" spans="1:45" ht="15.75" x14ac:dyDescent="0.25">
      <c r="A39" s="38">
        <v>23</v>
      </c>
      <c r="B39" s="42" t="s">
        <v>341</v>
      </c>
      <c r="C39" s="75">
        <v>2</v>
      </c>
      <c r="D39" s="76">
        <v>1</v>
      </c>
      <c r="E39" s="76">
        <v>1</v>
      </c>
      <c r="F39" s="76"/>
      <c r="G39" s="76">
        <v>5</v>
      </c>
      <c r="H39" s="76">
        <v>1</v>
      </c>
      <c r="I39" s="76">
        <v>1</v>
      </c>
      <c r="J39" s="76"/>
      <c r="K39" s="76">
        <v>1</v>
      </c>
      <c r="L39" s="76">
        <v>1</v>
      </c>
      <c r="M39" s="76">
        <v>1</v>
      </c>
      <c r="N39" s="76"/>
      <c r="O39" s="76">
        <v>1</v>
      </c>
      <c r="P39" s="76">
        <v>1</v>
      </c>
      <c r="Q39" s="76"/>
      <c r="R39" s="76"/>
      <c r="S39" s="76">
        <v>1</v>
      </c>
      <c r="T39" s="76"/>
      <c r="U39" s="76">
        <v>1</v>
      </c>
      <c r="V39" s="49">
        <v>1</v>
      </c>
      <c r="W39" s="49"/>
      <c r="X39" s="49"/>
      <c r="Y39" s="49">
        <v>1</v>
      </c>
      <c r="Z39" s="49"/>
      <c r="AA39" s="49"/>
      <c r="AB39" s="49"/>
      <c r="AC39" s="49">
        <v>1</v>
      </c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>
        <v>1</v>
      </c>
      <c r="AO39" s="49"/>
      <c r="AP39" s="49"/>
      <c r="AQ39" s="49">
        <v>20</v>
      </c>
      <c r="AR39" s="49"/>
      <c r="AS39" s="49"/>
    </row>
    <row r="40" spans="1:45" ht="15.75" x14ac:dyDescent="0.25">
      <c r="A40" s="38">
        <v>24</v>
      </c>
      <c r="B40" s="42" t="s">
        <v>342</v>
      </c>
      <c r="C40" s="75">
        <v>2</v>
      </c>
      <c r="D40" s="76">
        <v>1</v>
      </c>
      <c r="E40" s="76">
        <v>1</v>
      </c>
      <c r="F40" s="76"/>
      <c r="G40" s="76">
        <v>5</v>
      </c>
      <c r="H40" s="76">
        <v>1</v>
      </c>
      <c r="I40" s="76">
        <v>1</v>
      </c>
      <c r="J40" s="76"/>
      <c r="K40" s="76">
        <v>1</v>
      </c>
      <c r="L40" s="76">
        <v>1</v>
      </c>
      <c r="M40" s="76">
        <v>1</v>
      </c>
      <c r="N40" s="76"/>
      <c r="O40" s="76">
        <v>1</v>
      </c>
      <c r="P40" s="76">
        <v>1</v>
      </c>
      <c r="Q40" s="76"/>
      <c r="R40" s="76"/>
      <c r="S40" s="76">
        <v>1</v>
      </c>
      <c r="T40" s="76"/>
      <c r="U40" s="76">
        <v>1</v>
      </c>
      <c r="V40" s="49">
        <v>1</v>
      </c>
      <c r="W40" s="49"/>
      <c r="X40" s="49"/>
      <c r="Y40" s="49">
        <v>1</v>
      </c>
      <c r="Z40" s="49"/>
      <c r="AA40" s="49"/>
      <c r="AB40" s="49"/>
      <c r="AC40" s="49">
        <v>1</v>
      </c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>
        <v>1</v>
      </c>
      <c r="AO40" s="49"/>
      <c r="AP40" s="49"/>
      <c r="AQ40" s="49">
        <v>20</v>
      </c>
      <c r="AR40" s="49"/>
      <c r="AS40" s="49"/>
    </row>
    <row r="41" spans="1:45" ht="15.75" x14ac:dyDescent="0.25">
      <c r="A41" s="38">
        <v>25</v>
      </c>
      <c r="B41" s="42" t="s">
        <v>331</v>
      </c>
      <c r="C41" s="75">
        <v>2</v>
      </c>
      <c r="D41" s="76">
        <v>1</v>
      </c>
      <c r="E41" s="76">
        <v>1</v>
      </c>
      <c r="F41" s="76"/>
      <c r="G41" s="76">
        <v>5</v>
      </c>
      <c r="H41" s="76">
        <v>1</v>
      </c>
      <c r="I41" s="76">
        <v>1</v>
      </c>
      <c r="J41" s="76"/>
      <c r="K41" s="76">
        <v>1</v>
      </c>
      <c r="L41" s="76">
        <v>1</v>
      </c>
      <c r="M41" s="76">
        <v>1</v>
      </c>
      <c r="N41" s="76"/>
      <c r="O41" s="76">
        <v>1</v>
      </c>
      <c r="P41" s="76">
        <v>1</v>
      </c>
      <c r="Q41" s="76"/>
      <c r="R41" s="76"/>
      <c r="S41" s="76">
        <v>1</v>
      </c>
      <c r="T41" s="76"/>
      <c r="U41" s="76">
        <v>1</v>
      </c>
      <c r="V41" s="49">
        <v>1</v>
      </c>
      <c r="W41" s="49"/>
      <c r="X41" s="49"/>
      <c r="Y41" s="49">
        <v>1</v>
      </c>
      <c r="Z41" s="49"/>
      <c r="AA41" s="49"/>
      <c r="AB41" s="49"/>
      <c r="AC41" s="49">
        <v>1</v>
      </c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>
        <v>1</v>
      </c>
      <c r="AO41" s="49"/>
      <c r="AP41" s="49"/>
      <c r="AQ41" s="49"/>
      <c r="AR41" s="49"/>
      <c r="AS41" s="49"/>
    </row>
    <row r="42" spans="1:45" ht="15.75" x14ac:dyDescent="0.25">
      <c r="A42" s="38">
        <v>26</v>
      </c>
      <c r="B42" s="42" t="s">
        <v>194</v>
      </c>
      <c r="C42" s="75">
        <v>2</v>
      </c>
      <c r="D42" s="76">
        <v>1</v>
      </c>
      <c r="E42" s="76">
        <v>1</v>
      </c>
      <c r="F42" s="76"/>
      <c r="G42" s="76">
        <v>5</v>
      </c>
      <c r="H42" s="76">
        <v>1</v>
      </c>
      <c r="I42" s="76">
        <v>1</v>
      </c>
      <c r="J42" s="76"/>
      <c r="K42" s="76">
        <v>1</v>
      </c>
      <c r="L42" s="76">
        <v>1</v>
      </c>
      <c r="M42" s="76">
        <v>1</v>
      </c>
      <c r="N42" s="76"/>
      <c r="O42" s="76">
        <v>1</v>
      </c>
      <c r="P42" s="76">
        <v>1</v>
      </c>
      <c r="Q42" s="76"/>
      <c r="R42" s="76"/>
      <c r="S42" s="76">
        <v>1</v>
      </c>
      <c r="T42" s="76"/>
      <c r="U42" s="76">
        <v>1</v>
      </c>
      <c r="V42" s="49">
        <v>1</v>
      </c>
      <c r="W42" s="49"/>
      <c r="X42" s="49"/>
      <c r="Y42" s="49">
        <v>1</v>
      </c>
      <c r="Z42" s="49"/>
      <c r="AA42" s="49"/>
      <c r="AB42" s="49"/>
      <c r="AC42" s="49">
        <v>1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>
        <v>1</v>
      </c>
      <c r="AO42" s="49"/>
      <c r="AP42" s="49"/>
      <c r="AQ42" s="49">
        <v>20</v>
      </c>
      <c r="AR42" s="49"/>
      <c r="AS42" s="49"/>
    </row>
    <row r="43" spans="1:45" ht="15.75" x14ac:dyDescent="0.25">
      <c r="A43" s="38">
        <v>27</v>
      </c>
      <c r="B43" s="42" t="s">
        <v>383</v>
      </c>
      <c r="C43" s="75">
        <v>2</v>
      </c>
      <c r="D43" s="76">
        <v>1</v>
      </c>
      <c r="E43" s="76">
        <v>1</v>
      </c>
      <c r="F43" s="76"/>
      <c r="G43" s="76">
        <v>5</v>
      </c>
      <c r="H43" s="76">
        <v>1</v>
      </c>
      <c r="I43" s="76">
        <v>1</v>
      </c>
      <c r="J43" s="76"/>
      <c r="K43" s="76">
        <v>1</v>
      </c>
      <c r="L43" s="76">
        <v>1</v>
      </c>
      <c r="M43" s="76">
        <v>1</v>
      </c>
      <c r="N43" s="76"/>
      <c r="O43" s="76">
        <v>1</v>
      </c>
      <c r="P43" s="76">
        <v>1</v>
      </c>
      <c r="Q43" s="76"/>
      <c r="R43" s="76"/>
      <c r="S43" s="76">
        <v>1</v>
      </c>
      <c r="T43" s="76"/>
      <c r="U43" s="76">
        <v>1</v>
      </c>
      <c r="V43" s="49">
        <v>1</v>
      </c>
      <c r="W43" s="49"/>
      <c r="X43" s="49"/>
      <c r="Y43" s="49">
        <v>1</v>
      </c>
      <c r="Z43" s="49"/>
      <c r="AA43" s="49"/>
      <c r="AB43" s="49"/>
      <c r="AC43" s="49">
        <v>1</v>
      </c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>
        <v>1</v>
      </c>
      <c r="AO43" s="49"/>
      <c r="AP43" s="49"/>
      <c r="AQ43" s="49">
        <v>20</v>
      </c>
      <c r="AR43" s="49"/>
      <c r="AS43" s="49"/>
    </row>
    <row r="44" spans="1:45" ht="15.75" x14ac:dyDescent="0.25">
      <c r="A44" s="38">
        <v>28</v>
      </c>
      <c r="B44" s="42" t="s">
        <v>372</v>
      </c>
      <c r="C44" s="75">
        <v>2</v>
      </c>
      <c r="D44" s="76">
        <v>1</v>
      </c>
      <c r="E44" s="76">
        <v>1</v>
      </c>
      <c r="F44" s="76"/>
      <c r="G44" s="76">
        <v>5</v>
      </c>
      <c r="H44" s="76">
        <v>1</v>
      </c>
      <c r="I44" s="76">
        <v>1</v>
      </c>
      <c r="J44" s="76"/>
      <c r="K44" s="76">
        <v>1</v>
      </c>
      <c r="L44" s="76">
        <v>1</v>
      </c>
      <c r="M44" s="76">
        <v>1</v>
      </c>
      <c r="N44" s="76"/>
      <c r="O44" s="76">
        <v>1</v>
      </c>
      <c r="P44" s="76">
        <v>1</v>
      </c>
      <c r="Q44" s="76"/>
      <c r="R44" s="76"/>
      <c r="S44" s="76">
        <v>1</v>
      </c>
      <c r="T44" s="76"/>
      <c r="U44" s="76">
        <v>1</v>
      </c>
      <c r="V44" s="49">
        <v>1</v>
      </c>
      <c r="W44" s="49"/>
      <c r="X44" s="49"/>
      <c r="Y44" s="49">
        <v>1</v>
      </c>
      <c r="Z44" s="49"/>
      <c r="AA44" s="49"/>
      <c r="AB44" s="49"/>
      <c r="AC44" s="49">
        <v>1</v>
      </c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>
        <v>1</v>
      </c>
      <c r="AO44" s="49"/>
      <c r="AP44" s="49"/>
      <c r="AQ44" s="49">
        <v>20</v>
      </c>
      <c r="AR44" s="49"/>
      <c r="AS44" s="49"/>
    </row>
    <row r="45" spans="1:45" ht="15.75" x14ac:dyDescent="0.25">
      <c r="A45" s="38">
        <v>29</v>
      </c>
      <c r="B45" s="42" t="s">
        <v>437</v>
      </c>
      <c r="C45" s="75">
        <v>2</v>
      </c>
      <c r="D45" s="76">
        <v>1</v>
      </c>
      <c r="E45" s="76">
        <v>1</v>
      </c>
      <c r="F45" s="76"/>
      <c r="G45" s="76">
        <v>5</v>
      </c>
      <c r="H45" s="76">
        <v>1</v>
      </c>
      <c r="I45" s="76">
        <v>1</v>
      </c>
      <c r="J45" s="76"/>
      <c r="K45" s="76">
        <v>1</v>
      </c>
      <c r="L45" s="76">
        <v>1</v>
      </c>
      <c r="M45" s="76">
        <v>1</v>
      </c>
      <c r="N45" s="76"/>
      <c r="O45" s="76">
        <v>1</v>
      </c>
      <c r="P45" s="76">
        <v>1</v>
      </c>
      <c r="Q45" s="76"/>
      <c r="R45" s="76"/>
      <c r="S45" s="76">
        <v>1</v>
      </c>
      <c r="T45" s="76"/>
      <c r="U45" s="76">
        <v>1</v>
      </c>
      <c r="V45" s="49">
        <v>1</v>
      </c>
      <c r="W45" s="49"/>
      <c r="X45" s="49"/>
      <c r="Y45" s="49">
        <v>1</v>
      </c>
      <c r="Z45" s="49"/>
      <c r="AA45" s="49"/>
      <c r="AB45" s="49"/>
      <c r="AC45" s="49">
        <v>1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>
        <v>1</v>
      </c>
      <c r="AO45" s="49"/>
      <c r="AP45" s="49"/>
      <c r="AQ45" s="49">
        <v>20</v>
      </c>
      <c r="AR45" s="49"/>
      <c r="AS45" s="49"/>
    </row>
    <row r="46" spans="1:45" ht="15.75" x14ac:dyDescent="0.25">
      <c r="A46" s="38">
        <v>30</v>
      </c>
      <c r="B46" s="42" t="s">
        <v>391</v>
      </c>
      <c r="C46" s="75">
        <v>2</v>
      </c>
      <c r="D46" s="76">
        <v>1</v>
      </c>
      <c r="E46" s="76">
        <v>1</v>
      </c>
      <c r="F46" s="76"/>
      <c r="G46" s="76">
        <v>5</v>
      </c>
      <c r="H46" s="76">
        <v>1</v>
      </c>
      <c r="I46" s="76">
        <v>1</v>
      </c>
      <c r="J46" s="76"/>
      <c r="K46" s="76">
        <v>1</v>
      </c>
      <c r="L46" s="76">
        <v>1</v>
      </c>
      <c r="M46" s="76">
        <v>1</v>
      </c>
      <c r="N46" s="76"/>
      <c r="O46" s="76">
        <v>1</v>
      </c>
      <c r="P46" s="76">
        <v>1</v>
      </c>
      <c r="Q46" s="76"/>
      <c r="R46" s="76"/>
      <c r="S46" s="76">
        <v>1</v>
      </c>
      <c r="T46" s="76"/>
      <c r="U46" s="76">
        <v>1</v>
      </c>
      <c r="V46" s="49">
        <v>1</v>
      </c>
      <c r="W46" s="49"/>
      <c r="X46" s="49"/>
      <c r="Y46" s="49">
        <v>1</v>
      </c>
      <c r="Z46" s="49"/>
      <c r="AA46" s="49"/>
      <c r="AB46" s="49"/>
      <c r="AC46" s="49">
        <v>1</v>
      </c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>
        <v>1</v>
      </c>
      <c r="AO46" s="49"/>
      <c r="AP46" s="49"/>
      <c r="AQ46" s="49">
        <v>20</v>
      </c>
      <c r="AR46" s="49"/>
      <c r="AS46" s="49"/>
    </row>
    <row r="47" spans="1:45" ht="15.75" x14ac:dyDescent="0.25">
      <c r="A47" s="38">
        <v>31</v>
      </c>
      <c r="B47" s="42" t="s">
        <v>499</v>
      </c>
      <c r="C47" s="75">
        <v>2</v>
      </c>
      <c r="D47" s="76">
        <v>1</v>
      </c>
      <c r="E47" s="76">
        <v>1</v>
      </c>
      <c r="F47" s="76"/>
      <c r="G47" s="76">
        <v>5</v>
      </c>
      <c r="H47" s="76">
        <v>1</v>
      </c>
      <c r="I47" s="76">
        <v>1</v>
      </c>
      <c r="J47" s="76"/>
      <c r="K47" s="76">
        <v>1</v>
      </c>
      <c r="L47" s="76">
        <v>1</v>
      </c>
      <c r="M47" s="76">
        <v>1</v>
      </c>
      <c r="N47" s="76"/>
      <c r="O47" s="76">
        <v>1</v>
      </c>
      <c r="P47" s="76">
        <v>1</v>
      </c>
      <c r="Q47" s="76"/>
      <c r="R47" s="76"/>
      <c r="S47" s="76">
        <v>1</v>
      </c>
      <c r="T47" s="76"/>
      <c r="U47" s="76">
        <v>1</v>
      </c>
      <c r="V47" s="49">
        <v>1</v>
      </c>
      <c r="W47" s="49"/>
      <c r="X47" s="49"/>
      <c r="Y47" s="49">
        <v>1</v>
      </c>
      <c r="Z47" s="49"/>
      <c r="AA47" s="49"/>
      <c r="AB47" s="49"/>
      <c r="AC47" s="49">
        <v>1</v>
      </c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>
        <v>1</v>
      </c>
      <c r="AO47" s="49"/>
      <c r="AP47" s="49"/>
      <c r="AQ47" s="49"/>
      <c r="AR47" s="49"/>
      <c r="AS47" s="49"/>
    </row>
    <row r="48" spans="1:45" ht="15.75" x14ac:dyDescent="0.25">
      <c r="A48" s="38">
        <v>32</v>
      </c>
      <c r="B48" s="42" t="s">
        <v>500</v>
      </c>
      <c r="C48" s="75">
        <v>2</v>
      </c>
      <c r="D48" s="76">
        <v>1</v>
      </c>
      <c r="E48" s="76">
        <v>1</v>
      </c>
      <c r="F48" s="76"/>
      <c r="G48" s="76">
        <v>5</v>
      </c>
      <c r="H48" s="76">
        <v>1</v>
      </c>
      <c r="I48" s="76">
        <v>1</v>
      </c>
      <c r="J48" s="76"/>
      <c r="K48" s="76">
        <v>1</v>
      </c>
      <c r="L48" s="76">
        <v>1</v>
      </c>
      <c r="M48" s="76">
        <v>1</v>
      </c>
      <c r="N48" s="76"/>
      <c r="O48" s="76">
        <v>1</v>
      </c>
      <c r="P48" s="76">
        <v>1</v>
      </c>
      <c r="Q48" s="76"/>
      <c r="R48" s="76"/>
      <c r="S48" s="76">
        <v>1</v>
      </c>
      <c r="T48" s="76"/>
      <c r="U48" s="76">
        <v>1</v>
      </c>
      <c r="V48" s="49">
        <v>1</v>
      </c>
      <c r="W48" s="49"/>
      <c r="X48" s="49"/>
      <c r="Y48" s="49">
        <v>1</v>
      </c>
      <c r="Z48" s="49"/>
      <c r="AA48" s="49"/>
      <c r="AB48" s="49"/>
      <c r="AC48" s="49">
        <v>1</v>
      </c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>
        <v>1</v>
      </c>
      <c r="AO48" s="49"/>
      <c r="AP48" s="49"/>
      <c r="AQ48" s="49"/>
      <c r="AR48" s="49"/>
      <c r="AS48" s="49"/>
    </row>
    <row r="49" spans="1:45" ht="15.75" x14ac:dyDescent="0.25">
      <c r="A49" s="38">
        <v>33</v>
      </c>
      <c r="B49" s="42" t="s">
        <v>501</v>
      </c>
      <c r="C49" s="75">
        <v>2</v>
      </c>
      <c r="D49" s="76">
        <v>1</v>
      </c>
      <c r="E49" s="76">
        <v>1</v>
      </c>
      <c r="F49" s="76"/>
      <c r="G49" s="76">
        <v>5</v>
      </c>
      <c r="H49" s="76">
        <v>1</v>
      </c>
      <c r="I49" s="76">
        <v>1</v>
      </c>
      <c r="J49" s="76"/>
      <c r="K49" s="76">
        <v>1</v>
      </c>
      <c r="L49" s="76">
        <v>1</v>
      </c>
      <c r="M49" s="76">
        <v>1</v>
      </c>
      <c r="N49" s="76"/>
      <c r="O49" s="76">
        <v>1</v>
      </c>
      <c r="P49" s="76">
        <v>1</v>
      </c>
      <c r="Q49" s="76"/>
      <c r="R49" s="76"/>
      <c r="S49" s="76">
        <v>1</v>
      </c>
      <c r="T49" s="76"/>
      <c r="U49" s="76">
        <v>1</v>
      </c>
      <c r="V49" s="49">
        <v>1</v>
      </c>
      <c r="W49" s="49"/>
      <c r="X49" s="49"/>
      <c r="Y49" s="49">
        <v>1</v>
      </c>
      <c r="Z49" s="49"/>
      <c r="AA49" s="49"/>
      <c r="AB49" s="49"/>
      <c r="AC49" s="49">
        <v>1</v>
      </c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>
        <v>1</v>
      </c>
      <c r="AO49" s="49"/>
      <c r="AP49" s="49"/>
      <c r="AQ49" s="49"/>
      <c r="AR49" s="49"/>
      <c r="AS49" s="49"/>
    </row>
    <row r="50" spans="1:45" ht="15.75" x14ac:dyDescent="0.25">
      <c r="A50" s="38">
        <v>34</v>
      </c>
      <c r="B50" s="42" t="s">
        <v>211</v>
      </c>
      <c r="C50" s="75">
        <v>2</v>
      </c>
      <c r="D50" s="76">
        <v>1</v>
      </c>
      <c r="E50" s="76">
        <v>1</v>
      </c>
      <c r="F50" s="76"/>
      <c r="G50" s="76">
        <v>5</v>
      </c>
      <c r="H50" s="76">
        <v>1</v>
      </c>
      <c r="I50" s="76">
        <v>1</v>
      </c>
      <c r="J50" s="76"/>
      <c r="K50" s="76">
        <v>1</v>
      </c>
      <c r="L50" s="76">
        <v>1</v>
      </c>
      <c r="M50" s="76">
        <v>1</v>
      </c>
      <c r="N50" s="76"/>
      <c r="O50" s="76">
        <v>1</v>
      </c>
      <c r="P50" s="76">
        <v>1</v>
      </c>
      <c r="Q50" s="76"/>
      <c r="R50" s="76"/>
      <c r="S50" s="76">
        <v>1</v>
      </c>
      <c r="T50" s="76"/>
      <c r="U50" s="76">
        <v>1</v>
      </c>
      <c r="V50" s="49">
        <v>1</v>
      </c>
      <c r="W50" s="49"/>
      <c r="X50" s="49"/>
      <c r="Y50" s="49">
        <v>1</v>
      </c>
      <c r="Z50" s="49"/>
      <c r="AA50" s="49"/>
      <c r="AB50" s="49"/>
      <c r="AC50" s="49">
        <v>1</v>
      </c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>
        <v>1</v>
      </c>
      <c r="AO50" s="49"/>
      <c r="AP50" s="49"/>
      <c r="AQ50" s="49">
        <v>20</v>
      </c>
      <c r="AR50" s="49"/>
      <c r="AS50" s="49"/>
    </row>
    <row r="51" spans="1:45" ht="18.75" x14ac:dyDescent="0.25">
      <c r="A51" s="25"/>
      <c r="B51" s="48" t="s">
        <v>1</v>
      </c>
      <c r="C51" s="34">
        <f t="shared" ref="C51:AS51" si="0">SUM(C17:C50)</f>
        <v>68</v>
      </c>
      <c r="D51" s="34">
        <f t="shared" si="0"/>
        <v>34</v>
      </c>
      <c r="E51" s="34">
        <f t="shared" si="0"/>
        <v>34</v>
      </c>
      <c r="F51" s="34">
        <f t="shared" si="0"/>
        <v>0</v>
      </c>
      <c r="G51" s="34">
        <f t="shared" si="0"/>
        <v>170</v>
      </c>
      <c r="H51" s="34">
        <f t="shared" si="0"/>
        <v>34</v>
      </c>
      <c r="I51" s="34">
        <f t="shared" si="0"/>
        <v>34</v>
      </c>
      <c r="J51" s="34">
        <f t="shared" si="0"/>
        <v>0</v>
      </c>
      <c r="K51" s="34">
        <f t="shared" si="0"/>
        <v>34</v>
      </c>
      <c r="L51" s="34">
        <f t="shared" si="0"/>
        <v>34</v>
      </c>
      <c r="M51" s="34">
        <f t="shared" si="0"/>
        <v>34</v>
      </c>
      <c r="N51" s="34">
        <f t="shared" si="0"/>
        <v>0</v>
      </c>
      <c r="O51" s="34">
        <f t="shared" si="0"/>
        <v>34</v>
      </c>
      <c r="P51" s="34">
        <f t="shared" si="0"/>
        <v>34</v>
      </c>
      <c r="Q51" s="34">
        <f t="shared" si="0"/>
        <v>0</v>
      </c>
      <c r="R51" s="34">
        <f t="shared" si="0"/>
        <v>0</v>
      </c>
      <c r="S51" s="34">
        <f t="shared" si="0"/>
        <v>34</v>
      </c>
      <c r="T51" s="34">
        <f t="shared" si="0"/>
        <v>0</v>
      </c>
      <c r="U51" s="34">
        <f t="shared" si="0"/>
        <v>34</v>
      </c>
      <c r="V51" s="34">
        <f t="shared" si="0"/>
        <v>34</v>
      </c>
      <c r="W51" s="34">
        <f t="shared" si="0"/>
        <v>0</v>
      </c>
      <c r="X51" s="34">
        <f t="shared" si="0"/>
        <v>0</v>
      </c>
      <c r="Y51" s="34">
        <f t="shared" si="0"/>
        <v>34</v>
      </c>
      <c r="Z51" s="34">
        <f t="shared" si="0"/>
        <v>0</v>
      </c>
      <c r="AA51" s="34">
        <f t="shared" si="0"/>
        <v>0</v>
      </c>
      <c r="AB51" s="34">
        <f t="shared" si="0"/>
        <v>0</v>
      </c>
      <c r="AC51" s="34">
        <f t="shared" si="0"/>
        <v>34</v>
      </c>
      <c r="AD51" s="34">
        <f t="shared" si="0"/>
        <v>0</v>
      </c>
      <c r="AE51" s="34">
        <f t="shared" si="0"/>
        <v>0</v>
      </c>
      <c r="AF51" s="34">
        <f t="shared" si="0"/>
        <v>0</v>
      </c>
      <c r="AG51" s="34">
        <f t="shared" si="0"/>
        <v>0</v>
      </c>
      <c r="AH51" s="34">
        <f t="shared" si="0"/>
        <v>0</v>
      </c>
      <c r="AI51" s="34">
        <f t="shared" si="0"/>
        <v>0</v>
      </c>
      <c r="AJ51" s="34">
        <f t="shared" si="0"/>
        <v>0</v>
      </c>
      <c r="AK51" s="34">
        <f t="shared" si="0"/>
        <v>0</v>
      </c>
      <c r="AL51" s="34">
        <f t="shared" si="0"/>
        <v>0</v>
      </c>
      <c r="AM51" s="34">
        <f t="shared" si="0"/>
        <v>0</v>
      </c>
      <c r="AN51" s="34">
        <f t="shared" si="0"/>
        <v>34</v>
      </c>
      <c r="AO51" s="34">
        <f t="shared" si="0"/>
        <v>0</v>
      </c>
      <c r="AP51" s="34">
        <f t="shared" si="0"/>
        <v>0</v>
      </c>
      <c r="AQ51" s="34">
        <f t="shared" si="0"/>
        <v>440</v>
      </c>
      <c r="AR51" s="34">
        <f t="shared" si="0"/>
        <v>0</v>
      </c>
      <c r="AS51" s="34">
        <f t="shared" si="0"/>
        <v>0</v>
      </c>
    </row>
    <row r="55" spans="1:45" ht="15.75" x14ac:dyDescent="0.25">
      <c r="B55" s="63" t="s">
        <v>291</v>
      </c>
      <c r="C55" s="64" t="s">
        <v>300</v>
      </c>
      <c r="I55" s="65"/>
      <c r="J55" s="65"/>
      <c r="K55" s="65"/>
      <c r="L55" s="65"/>
      <c r="M55" s="65"/>
      <c r="N55" s="65"/>
      <c r="O55" s="65"/>
      <c r="R55" s="66"/>
      <c r="S55" s="66"/>
      <c r="T55" s="66"/>
      <c r="U55" s="66"/>
      <c r="V55" s="66"/>
      <c r="W55" s="66"/>
      <c r="X55" s="66"/>
    </row>
    <row r="56" spans="1:45" ht="15.75" x14ac:dyDescent="0.25">
      <c r="C56"/>
      <c r="K56" s="67" t="s">
        <v>293</v>
      </c>
      <c r="U56" s="64" t="s">
        <v>292</v>
      </c>
    </row>
  </sheetData>
  <mergeCells count="7">
    <mergeCell ref="A10:AS10"/>
    <mergeCell ref="A11:AS11"/>
    <mergeCell ref="A14:A15"/>
    <mergeCell ref="B14:B15"/>
    <mergeCell ref="C14:AS14"/>
    <mergeCell ref="R12:S12"/>
    <mergeCell ref="T12:U12"/>
  </mergeCells>
  <conditionalFormatting sqref="B17:B50">
    <cfRule type="duplicateValues" dxfId="80" priority="698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CCC"/>
    <pageSetUpPr fitToPage="1"/>
  </sheetPr>
  <dimension ref="A10:AS51"/>
  <sheetViews>
    <sheetView view="pageBreakPreview" topLeftCell="A16" zoomScaleSheetLayoutView="100" workbookViewId="0">
      <selection activeCell="B17" sqref="B17:B45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296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 t="s">
        <v>288</v>
      </c>
      <c r="R12" s="112" t="str">
        <f>'Справочник-не смотрим!'!B1</f>
        <v>февраль</v>
      </c>
      <c r="S12" s="112"/>
      <c r="T12" s="112">
        <f>'Справочник-не смотрим!'!B2</f>
        <v>2026</v>
      </c>
      <c r="U12" s="112"/>
      <c r="V12" s="61" t="s">
        <v>289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38">
        <v>1</v>
      </c>
      <c r="B17" s="42" t="s">
        <v>502</v>
      </c>
      <c r="C17" s="75">
        <v>2</v>
      </c>
      <c r="D17" s="76">
        <v>1</v>
      </c>
      <c r="E17" s="76">
        <v>1</v>
      </c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>
        <v>1</v>
      </c>
      <c r="N17" s="76"/>
      <c r="O17" s="76"/>
      <c r="P17" s="76">
        <v>1</v>
      </c>
      <c r="Q17" s="76"/>
      <c r="R17" s="76"/>
      <c r="S17" s="76">
        <v>1</v>
      </c>
      <c r="T17" s="76"/>
      <c r="U17" s="76"/>
      <c r="V17" s="49"/>
      <c r="W17" s="49"/>
      <c r="X17" s="49"/>
      <c r="Y17" s="49">
        <v>1</v>
      </c>
      <c r="Z17" s="49"/>
      <c r="AA17" s="49"/>
      <c r="AB17" s="49"/>
      <c r="AC17" s="49">
        <v>1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>
        <v>1</v>
      </c>
      <c r="AO17" s="49"/>
      <c r="AP17" s="49"/>
      <c r="AQ17" s="49">
        <v>10</v>
      </c>
      <c r="AR17" s="49"/>
      <c r="AS17" s="49"/>
    </row>
    <row r="18" spans="1:45" ht="15.75" x14ac:dyDescent="0.25">
      <c r="A18" s="38">
        <v>2</v>
      </c>
      <c r="B18" s="42" t="s">
        <v>419</v>
      </c>
      <c r="C18" s="75">
        <v>2</v>
      </c>
      <c r="D18" s="76">
        <v>1</v>
      </c>
      <c r="E18" s="76">
        <v>1</v>
      </c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>
        <v>1</v>
      </c>
      <c r="N18" s="76"/>
      <c r="O18" s="76"/>
      <c r="P18" s="76">
        <v>1</v>
      </c>
      <c r="Q18" s="76"/>
      <c r="R18" s="76"/>
      <c r="S18" s="76">
        <v>1</v>
      </c>
      <c r="T18" s="76"/>
      <c r="U18" s="76"/>
      <c r="V18" s="49"/>
      <c r="W18" s="49"/>
      <c r="X18" s="49"/>
      <c r="Y18" s="49">
        <v>1</v>
      </c>
      <c r="Z18" s="49"/>
      <c r="AA18" s="49"/>
      <c r="AB18" s="49"/>
      <c r="AC18" s="49">
        <v>1</v>
      </c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>
        <v>1</v>
      </c>
      <c r="AO18" s="49"/>
      <c r="AP18" s="49"/>
      <c r="AQ18" s="49">
        <v>10</v>
      </c>
      <c r="AR18" s="49"/>
      <c r="AS18" s="49"/>
    </row>
    <row r="19" spans="1:45" ht="15.75" x14ac:dyDescent="0.25">
      <c r="A19" s="38">
        <v>3</v>
      </c>
      <c r="B19" s="42" t="s">
        <v>214</v>
      </c>
      <c r="C19" s="75">
        <v>2</v>
      </c>
      <c r="D19" s="76">
        <v>1</v>
      </c>
      <c r="E19" s="76">
        <v>1</v>
      </c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>
        <v>1</v>
      </c>
      <c r="N19" s="76"/>
      <c r="O19" s="76"/>
      <c r="P19" s="76">
        <v>1</v>
      </c>
      <c r="Q19" s="76"/>
      <c r="R19" s="76"/>
      <c r="S19" s="76">
        <v>1</v>
      </c>
      <c r="T19" s="76"/>
      <c r="U19" s="76"/>
      <c r="V19" s="49"/>
      <c r="W19" s="49"/>
      <c r="X19" s="49"/>
      <c r="Y19" s="49">
        <v>1</v>
      </c>
      <c r="Z19" s="49"/>
      <c r="AA19" s="49"/>
      <c r="AB19" s="49"/>
      <c r="AC19" s="49">
        <v>1</v>
      </c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>
        <v>1</v>
      </c>
      <c r="AO19" s="49"/>
      <c r="AP19" s="49"/>
      <c r="AQ19" s="49">
        <v>10</v>
      </c>
      <c r="AR19" s="49"/>
      <c r="AS19" s="49"/>
    </row>
    <row r="20" spans="1:45" ht="15.75" x14ac:dyDescent="0.25">
      <c r="A20" s="38">
        <v>4</v>
      </c>
      <c r="B20" s="42" t="s">
        <v>215</v>
      </c>
      <c r="C20" s="75">
        <v>2</v>
      </c>
      <c r="D20" s="76">
        <v>1</v>
      </c>
      <c r="E20" s="76">
        <v>1</v>
      </c>
      <c r="F20" s="76"/>
      <c r="G20" s="76">
        <v>5</v>
      </c>
      <c r="H20" s="76">
        <v>1</v>
      </c>
      <c r="I20" s="76">
        <v>1</v>
      </c>
      <c r="J20" s="76"/>
      <c r="K20" s="76">
        <v>1</v>
      </c>
      <c r="L20" s="76">
        <v>1</v>
      </c>
      <c r="M20" s="76">
        <v>1</v>
      </c>
      <c r="N20" s="76"/>
      <c r="O20" s="76"/>
      <c r="P20" s="76">
        <v>1</v>
      </c>
      <c r="Q20" s="76"/>
      <c r="R20" s="76"/>
      <c r="S20" s="76">
        <v>1</v>
      </c>
      <c r="T20" s="76"/>
      <c r="U20" s="76"/>
      <c r="V20" s="49"/>
      <c r="W20" s="49"/>
      <c r="X20" s="49"/>
      <c r="Y20" s="49">
        <v>1</v>
      </c>
      <c r="Z20" s="49"/>
      <c r="AA20" s="49"/>
      <c r="AB20" s="49"/>
      <c r="AC20" s="49">
        <v>1</v>
      </c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>
        <v>1</v>
      </c>
      <c r="AO20" s="49"/>
      <c r="AP20" s="49"/>
      <c r="AQ20" s="49"/>
      <c r="AR20" s="49"/>
      <c r="AS20" s="49"/>
    </row>
    <row r="21" spans="1:45" ht="15.75" x14ac:dyDescent="0.25">
      <c r="A21" s="38">
        <v>5</v>
      </c>
      <c r="B21" s="42" t="s">
        <v>402</v>
      </c>
      <c r="C21" s="75">
        <v>2</v>
      </c>
      <c r="D21" s="76">
        <v>1</v>
      </c>
      <c r="E21" s="76">
        <v>1</v>
      </c>
      <c r="F21" s="76"/>
      <c r="G21" s="76">
        <v>5</v>
      </c>
      <c r="H21" s="76">
        <v>1</v>
      </c>
      <c r="I21" s="76">
        <v>1</v>
      </c>
      <c r="J21" s="76"/>
      <c r="K21" s="76">
        <v>1</v>
      </c>
      <c r="L21" s="76">
        <v>1</v>
      </c>
      <c r="M21" s="76">
        <v>1</v>
      </c>
      <c r="N21" s="76"/>
      <c r="O21" s="76"/>
      <c r="P21" s="76">
        <v>1</v>
      </c>
      <c r="Q21" s="76"/>
      <c r="R21" s="76"/>
      <c r="S21" s="76">
        <v>1</v>
      </c>
      <c r="T21" s="76"/>
      <c r="U21" s="76"/>
      <c r="V21" s="49"/>
      <c r="W21" s="49"/>
      <c r="X21" s="49"/>
      <c r="Y21" s="49">
        <v>1</v>
      </c>
      <c r="Z21" s="49"/>
      <c r="AA21" s="49"/>
      <c r="AB21" s="49"/>
      <c r="AC21" s="49">
        <v>1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>
        <v>1</v>
      </c>
      <c r="AO21" s="49"/>
      <c r="AP21" s="49"/>
      <c r="AQ21" s="49">
        <v>10</v>
      </c>
      <c r="AR21" s="49"/>
      <c r="AS21" s="49"/>
    </row>
    <row r="22" spans="1:45" ht="15.75" x14ac:dyDescent="0.25">
      <c r="A22" s="38">
        <v>6</v>
      </c>
      <c r="B22" s="42" t="s">
        <v>439</v>
      </c>
      <c r="C22" s="75">
        <v>2</v>
      </c>
      <c r="D22" s="76">
        <v>1</v>
      </c>
      <c r="E22" s="76">
        <v>1</v>
      </c>
      <c r="F22" s="76"/>
      <c r="G22" s="76">
        <v>5</v>
      </c>
      <c r="H22" s="76">
        <v>1</v>
      </c>
      <c r="I22" s="76">
        <v>1</v>
      </c>
      <c r="J22" s="76"/>
      <c r="K22" s="76">
        <v>1</v>
      </c>
      <c r="L22" s="76">
        <v>1</v>
      </c>
      <c r="M22" s="76">
        <v>1</v>
      </c>
      <c r="N22" s="76"/>
      <c r="O22" s="76"/>
      <c r="P22" s="76">
        <v>1</v>
      </c>
      <c r="Q22" s="76"/>
      <c r="R22" s="76"/>
      <c r="S22" s="76">
        <v>1</v>
      </c>
      <c r="T22" s="76"/>
      <c r="U22" s="76"/>
      <c r="V22" s="49"/>
      <c r="W22" s="49"/>
      <c r="X22" s="49"/>
      <c r="Y22" s="49">
        <v>1</v>
      </c>
      <c r="Z22" s="49"/>
      <c r="AA22" s="49"/>
      <c r="AB22" s="49"/>
      <c r="AC22" s="49">
        <v>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>
        <v>1</v>
      </c>
      <c r="AO22" s="49"/>
      <c r="AP22" s="49"/>
      <c r="AQ22" s="49">
        <v>10</v>
      </c>
      <c r="AR22" s="49"/>
      <c r="AS22" s="49"/>
    </row>
    <row r="23" spans="1:45" ht="15.75" x14ac:dyDescent="0.25">
      <c r="A23" s="38">
        <v>7</v>
      </c>
      <c r="B23" s="42" t="s">
        <v>440</v>
      </c>
      <c r="C23" s="75">
        <v>2</v>
      </c>
      <c r="D23" s="76">
        <v>1</v>
      </c>
      <c r="E23" s="76">
        <v>1</v>
      </c>
      <c r="F23" s="76"/>
      <c r="G23" s="76">
        <v>5</v>
      </c>
      <c r="H23" s="76">
        <v>1</v>
      </c>
      <c r="I23" s="76">
        <v>1</v>
      </c>
      <c r="J23" s="76"/>
      <c r="K23" s="76">
        <v>1</v>
      </c>
      <c r="L23" s="76">
        <v>1</v>
      </c>
      <c r="M23" s="76">
        <v>1</v>
      </c>
      <c r="N23" s="76"/>
      <c r="O23" s="76"/>
      <c r="P23" s="76">
        <v>1</v>
      </c>
      <c r="Q23" s="76"/>
      <c r="R23" s="76"/>
      <c r="S23" s="76">
        <v>1</v>
      </c>
      <c r="T23" s="76"/>
      <c r="U23" s="76"/>
      <c r="V23" s="49"/>
      <c r="W23" s="49"/>
      <c r="X23" s="49"/>
      <c r="Y23" s="49">
        <v>1</v>
      </c>
      <c r="Z23" s="49"/>
      <c r="AA23" s="49"/>
      <c r="AB23" s="49"/>
      <c r="AC23" s="49">
        <v>1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>
        <v>1</v>
      </c>
      <c r="AO23" s="49"/>
      <c r="AP23" s="49"/>
      <c r="AQ23" s="49">
        <v>10</v>
      </c>
      <c r="AR23" s="49"/>
      <c r="AS23" s="49"/>
    </row>
    <row r="24" spans="1:45" ht="15.75" x14ac:dyDescent="0.25">
      <c r="A24" s="38">
        <v>8</v>
      </c>
      <c r="B24" s="42" t="s">
        <v>362</v>
      </c>
      <c r="C24" s="75">
        <v>2</v>
      </c>
      <c r="D24" s="76">
        <v>1</v>
      </c>
      <c r="E24" s="76">
        <v>1</v>
      </c>
      <c r="F24" s="76"/>
      <c r="G24" s="76">
        <v>5</v>
      </c>
      <c r="H24" s="76">
        <v>1</v>
      </c>
      <c r="I24" s="76">
        <v>1</v>
      </c>
      <c r="J24" s="76"/>
      <c r="K24" s="76">
        <v>1</v>
      </c>
      <c r="L24" s="76">
        <v>1</v>
      </c>
      <c r="M24" s="76">
        <v>1</v>
      </c>
      <c r="N24" s="76"/>
      <c r="O24" s="76"/>
      <c r="P24" s="76">
        <v>1</v>
      </c>
      <c r="Q24" s="76"/>
      <c r="R24" s="76"/>
      <c r="S24" s="76">
        <v>1</v>
      </c>
      <c r="T24" s="76"/>
      <c r="U24" s="76"/>
      <c r="V24" s="49"/>
      <c r="W24" s="49"/>
      <c r="X24" s="49"/>
      <c r="Y24" s="49">
        <v>1</v>
      </c>
      <c r="Z24" s="49"/>
      <c r="AA24" s="49"/>
      <c r="AB24" s="49"/>
      <c r="AC24" s="49">
        <v>1</v>
      </c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>
        <v>1</v>
      </c>
      <c r="AO24" s="49"/>
      <c r="AP24" s="49"/>
      <c r="AQ24" s="49"/>
      <c r="AR24" s="49"/>
      <c r="AS24" s="49"/>
    </row>
    <row r="25" spans="1:45" ht="15.75" x14ac:dyDescent="0.25">
      <c r="A25" s="38">
        <v>9</v>
      </c>
      <c r="B25" s="42" t="s">
        <v>370</v>
      </c>
      <c r="C25" s="75">
        <v>2</v>
      </c>
      <c r="D25" s="76">
        <v>1</v>
      </c>
      <c r="E25" s="76">
        <v>1</v>
      </c>
      <c r="F25" s="76"/>
      <c r="G25" s="76">
        <v>5</v>
      </c>
      <c r="H25" s="76">
        <v>1</v>
      </c>
      <c r="I25" s="76">
        <v>1</v>
      </c>
      <c r="J25" s="76"/>
      <c r="K25" s="76">
        <v>1</v>
      </c>
      <c r="L25" s="76">
        <v>1</v>
      </c>
      <c r="M25" s="76">
        <v>1</v>
      </c>
      <c r="N25" s="76"/>
      <c r="O25" s="76"/>
      <c r="P25" s="76">
        <v>1</v>
      </c>
      <c r="Q25" s="76"/>
      <c r="R25" s="76"/>
      <c r="S25" s="76">
        <v>1</v>
      </c>
      <c r="T25" s="76"/>
      <c r="U25" s="76"/>
      <c r="V25" s="49"/>
      <c r="W25" s="49"/>
      <c r="X25" s="49"/>
      <c r="Y25" s="49">
        <v>1</v>
      </c>
      <c r="Z25" s="49"/>
      <c r="AA25" s="49"/>
      <c r="AB25" s="49"/>
      <c r="AC25" s="49">
        <v>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>
        <v>1</v>
      </c>
      <c r="AO25" s="49"/>
      <c r="AP25" s="49"/>
      <c r="AQ25" s="49">
        <v>10</v>
      </c>
      <c r="AR25" s="49"/>
      <c r="AS25" s="49"/>
    </row>
    <row r="26" spans="1:45" ht="15.75" x14ac:dyDescent="0.25">
      <c r="A26" s="38">
        <v>10</v>
      </c>
      <c r="B26" s="42" t="s">
        <v>191</v>
      </c>
      <c r="C26" s="75">
        <v>2</v>
      </c>
      <c r="D26" s="76">
        <v>1</v>
      </c>
      <c r="E26" s="76">
        <v>1</v>
      </c>
      <c r="F26" s="76"/>
      <c r="G26" s="76">
        <v>5</v>
      </c>
      <c r="H26" s="76">
        <v>1</v>
      </c>
      <c r="I26" s="76">
        <v>1</v>
      </c>
      <c r="J26" s="76"/>
      <c r="K26" s="76">
        <v>1</v>
      </c>
      <c r="L26" s="76">
        <v>1</v>
      </c>
      <c r="M26" s="76">
        <v>1</v>
      </c>
      <c r="N26" s="76"/>
      <c r="O26" s="76"/>
      <c r="P26" s="76">
        <v>1</v>
      </c>
      <c r="Q26" s="76"/>
      <c r="R26" s="76"/>
      <c r="S26" s="76">
        <v>1</v>
      </c>
      <c r="T26" s="76"/>
      <c r="U26" s="76"/>
      <c r="V26" s="49"/>
      <c r="W26" s="49"/>
      <c r="X26" s="49"/>
      <c r="Y26" s="49">
        <v>1</v>
      </c>
      <c r="Z26" s="49"/>
      <c r="AA26" s="49"/>
      <c r="AB26" s="49"/>
      <c r="AC26" s="49">
        <v>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>
        <v>1</v>
      </c>
      <c r="AO26" s="49"/>
      <c r="AP26" s="49"/>
      <c r="AQ26" s="49">
        <v>10</v>
      </c>
      <c r="AR26" s="49"/>
      <c r="AS26" s="49"/>
    </row>
    <row r="27" spans="1:45" ht="15.75" x14ac:dyDescent="0.25">
      <c r="A27" s="38">
        <v>11</v>
      </c>
      <c r="B27" s="42" t="s">
        <v>336</v>
      </c>
      <c r="C27" s="75">
        <v>2</v>
      </c>
      <c r="D27" s="76">
        <v>1</v>
      </c>
      <c r="E27" s="76">
        <v>1</v>
      </c>
      <c r="F27" s="76"/>
      <c r="G27" s="76">
        <v>5</v>
      </c>
      <c r="H27" s="76">
        <v>1</v>
      </c>
      <c r="I27" s="76">
        <v>1</v>
      </c>
      <c r="J27" s="76"/>
      <c r="K27" s="76">
        <v>1</v>
      </c>
      <c r="L27" s="76">
        <v>1</v>
      </c>
      <c r="M27" s="76">
        <v>1</v>
      </c>
      <c r="N27" s="76"/>
      <c r="O27" s="76"/>
      <c r="P27" s="76">
        <v>1</v>
      </c>
      <c r="Q27" s="76"/>
      <c r="R27" s="76"/>
      <c r="S27" s="76">
        <v>1</v>
      </c>
      <c r="T27" s="76"/>
      <c r="U27" s="76"/>
      <c r="V27" s="49"/>
      <c r="W27" s="49"/>
      <c r="X27" s="49"/>
      <c r="Y27" s="49">
        <v>1</v>
      </c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>
        <v>1</v>
      </c>
      <c r="AO27" s="49"/>
      <c r="AP27" s="49"/>
      <c r="AQ27" s="49">
        <v>10</v>
      </c>
      <c r="AR27" s="49"/>
      <c r="AS27" s="49"/>
    </row>
    <row r="28" spans="1:45" ht="15.75" x14ac:dyDescent="0.25">
      <c r="A28" s="38">
        <v>12</v>
      </c>
      <c r="B28" s="42" t="s">
        <v>503</v>
      </c>
      <c r="C28" s="75">
        <v>2</v>
      </c>
      <c r="D28" s="76">
        <v>1</v>
      </c>
      <c r="E28" s="76">
        <v>1</v>
      </c>
      <c r="F28" s="76"/>
      <c r="G28" s="76">
        <v>5</v>
      </c>
      <c r="H28" s="76">
        <v>1</v>
      </c>
      <c r="I28" s="76">
        <v>1</v>
      </c>
      <c r="J28" s="76"/>
      <c r="K28" s="76">
        <v>1</v>
      </c>
      <c r="L28" s="76">
        <v>1</v>
      </c>
      <c r="M28" s="76">
        <v>1</v>
      </c>
      <c r="N28" s="76"/>
      <c r="O28" s="76"/>
      <c r="P28" s="76">
        <v>1</v>
      </c>
      <c r="Q28" s="76"/>
      <c r="R28" s="76"/>
      <c r="S28" s="76">
        <v>1</v>
      </c>
      <c r="T28" s="76"/>
      <c r="U28" s="76"/>
      <c r="V28" s="49"/>
      <c r="W28" s="49"/>
      <c r="X28" s="49"/>
      <c r="Y28" s="49">
        <v>1</v>
      </c>
      <c r="Z28" s="49"/>
      <c r="AA28" s="49"/>
      <c r="AB28" s="49"/>
      <c r="AC28" s="49">
        <v>1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>
        <v>1</v>
      </c>
      <c r="AO28" s="49"/>
      <c r="AP28" s="49"/>
      <c r="AQ28" s="49">
        <v>10</v>
      </c>
      <c r="AR28" s="49"/>
      <c r="AS28" s="49"/>
    </row>
    <row r="29" spans="1:45" ht="15.75" x14ac:dyDescent="0.25">
      <c r="A29" s="38">
        <v>13</v>
      </c>
      <c r="B29" s="42" t="s">
        <v>475</v>
      </c>
      <c r="C29" s="75">
        <v>2</v>
      </c>
      <c r="D29" s="76">
        <v>1</v>
      </c>
      <c r="E29" s="76">
        <v>1</v>
      </c>
      <c r="F29" s="76"/>
      <c r="G29" s="76">
        <v>5</v>
      </c>
      <c r="H29" s="76">
        <v>1</v>
      </c>
      <c r="I29" s="76">
        <v>1</v>
      </c>
      <c r="J29" s="76"/>
      <c r="K29" s="76">
        <v>1</v>
      </c>
      <c r="L29" s="76">
        <v>1</v>
      </c>
      <c r="M29" s="76">
        <v>1</v>
      </c>
      <c r="N29" s="76"/>
      <c r="O29" s="76"/>
      <c r="P29" s="76">
        <v>1</v>
      </c>
      <c r="Q29" s="76"/>
      <c r="R29" s="76"/>
      <c r="S29" s="76">
        <v>1</v>
      </c>
      <c r="T29" s="76"/>
      <c r="U29" s="76"/>
      <c r="V29" s="49"/>
      <c r="W29" s="49"/>
      <c r="X29" s="49"/>
      <c r="Y29" s="49">
        <v>1</v>
      </c>
      <c r="Z29" s="49"/>
      <c r="AA29" s="49"/>
      <c r="AB29" s="49"/>
      <c r="AC29" s="49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>
        <v>1</v>
      </c>
      <c r="AO29" s="49"/>
      <c r="AP29" s="49"/>
      <c r="AQ29" s="49">
        <v>10</v>
      </c>
      <c r="AR29" s="49"/>
      <c r="AS29" s="49"/>
    </row>
    <row r="30" spans="1:45" ht="15.75" x14ac:dyDescent="0.25">
      <c r="A30" s="38">
        <v>14</v>
      </c>
      <c r="B30" s="42" t="s">
        <v>403</v>
      </c>
      <c r="C30" s="75">
        <v>2</v>
      </c>
      <c r="D30" s="76">
        <v>1</v>
      </c>
      <c r="E30" s="76">
        <v>1</v>
      </c>
      <c r="F30" s="76"/>
      <c r="G30" s="76">
        <v>5</v>
      </c>
      <c r="H30" s="76">
        <v>1</v>
      </c>
      <c r="I30" s="76">
        <v>1</v>
      </c>
      <c r="J30" s="76"/>
      <c r="K30" s="76">
        <v>1</v>
      </c>
      <c r="L30" s="76">
        <v>1</v>
      </c>
      <c r="M30" s="76">
        <v>1</v>
      </c>
      <c r="N30" s="76"/>
      <c r="O30" s="76"/>
      <c r="P30" s="76">
        <v>1</v>
      </c>
      <c r="Q30" s="76"/>
      <c r="R30" s="76"/>
      <c r="S30" s="76">
        <v>1</v>
      </c>
      <c r="T30" s="76"/>
      <c r="U30" s="76"/>
      <c r="V30" s="49"/>
      <c r="W30" s="49"/>
      <c r="X30" s="49"/>
      <c r="Y30" s="49">
        <v>1</v>
      </c>
      <c r="Z30" s="49"/>
      <c r="AA30" s="49"/>
      <c r="AB30" s="49"/>
      <c r="AC30" s="49">
        <v>1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>
        <v>1</v>
      </c>
      <c r="AO30" s="49"/>
      <c r="AP30" s="49"/>
      <c r="AQ30" s="49">
        <v>10</v>
      </c>
      <c r="AR30" s="49"/>
      <c r="AS30" s="49"/>
    </row>
    <row r="31" spans="1:45" ht="15.75" x14ac:dyDescent="0.25">
      <c r="A31" s="38">
        <v>15</v>
      </c>
      <c r="B31" s="42" t="s">
        <v>354</v>
      </c>
      <c r="C31" s="75">
        <v>2</v>
      </c>
      <c r="D31" s="76">
        <v>1</v>
      </c>
      <c r="E31" s="76">
        <v>1</v>
      </c>
      <c r="F31" s="76"/>
      <c r="G31" s="76">
        <v>5</v>
      </c>
      <c r="H31" s="76">
        <v>1</v>
      </c>
      <c r="I31" s="76">
        <v>1</v>
      </c>
      <c r="J31" s="76"/>
      <c r="K31" s="76">
        <v>1</v>
      </c>
      <c r="L31" s="76">
        <v>1</v>
      </c>
      <c r="M31" s="76">
        <v>1</v>
      </c>
      <c r="N31" s="76"/>
      <c r="O31" s="76"/>
      <c r="P31" s="76">
        <v>1</v>
      </c>
      <c r="Q31" s="76"/>
      <c r="R31" s="76"/>
      <c r="S31" s="76">
        <v>1</v>
      </c>
      <c r="T31" s="76"/>
      <c r="U31" s="76"/>
      <c r="V31" s="49"/>
      <c r="W31" s="49"/>
      <c r="X31" s="49"/>
      <c r="Y31" s="49">
        <v>1</v>
      </c>
      <c r="Z31" s="49"/>
      <c r="AA31" s="49"/>
      <c r="AB31" s="49"/>
      <c r="AC31" s="49">
        <v>1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>
        <v>1</v>
      </c>
      <c r="AO31" s="49"/>
      <c r="AP31" s="49"/>
      <c r="AQ31" s="49">
        <v>10</v>
      </c>
      <c r="AR31" s="49"/>
      <c r="AS31" s="49"/>
    </row>
    <row r="32" spans="1:45" ht="15.75" x14ac:dyDescent="0.25">
      <c r="A32" s="38">
        <v>16</v>
      </c>
      <c r="B32" s="42" t="s">
        <v>476</v>
      </c>
      <c r="C32" s="75">
        <v>2</v>
      </c>
      <c r="D32" s="76">
        <v>1</v>
      </c>
      <c r="E32" s="76">
        <v>1</v>
      </c>
      <c r="F32" s="76"/>
      <c r="G32" s="76">
        <v>5</v>
      </c>
      <c r="H32" s="76">
        <v>1</v>
      </c>
      <c r="I32" s="76">
        <v>1</v>
      </c>
      <c r="J32" s="76"/>
      <c r="K32" s="76">
        <v>1</v>
      </c>
      <c r="L32" s="76">
        <v>1</v>
      </c>
      <c r="M32" s="76">
        <v>1</v>
      </c>
      <c r="N32" s="76"/>
      <c r="O32" s="76"/>
      <c r="P32" s="76">
        <v>1</v>
      </c>
      <c r="Q32" s="76"/>
      <c r="R32" s="76"/>
      <c r="S32" s="76">
        <v>1</v>
      </c>
      <c r="T32" s="76"/>
      <c r="U32" s="76"/>
      <c r="V32" s="49"/>
      <c r="W32" s="49"/>
      <c r="X32" s="49"/>
      <c r="Y32" s="49">
        <v>1</v>
      </c>
      <c r="Z32" s="49"/>
      <c r="AA32" s="49"/>
      <c r="AB32" s="49"/>
      <c r="AC32" s="49">
        <v>1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>
        <v>1</v>
      </c>
      <c r="AO32" s="49"/>
      <c r="AP32" s="49"/>
      <c r="AQ32" s="49">
        <v>10</v>
      </c>
      <c r="AR32" s="49"/>
      <c r="AS32" s="49"/>
    </row>
    <row r="33" spans="1:45" ht="15.75" x14ac:dyDescent="0.25">
      <c r="A33" s="38">
        <v>17</v>
      </c>
      <c r="B33" s="42" t="s">
        <v>477</v>
      </c>
      <c r="C33" s="75">
        <v>2</v>
      </c>
      <c r="D33" s="76">
        <v>1</v>
      </c>
      <c r="E33" s="76">
        <v>1</v>
      </c>
      <c r="F33" s="76"/>
      <c r="G33" s="76">
        <v>5</v>
      </c>
      <c r="H33" s="76">
        <v>1</v>
      </c>
      <c r="I33" s="76">
        <v>1</v>
      </c>
      <c r="J33" s="76"/>
      <c r="K33" s="76">
        <v>1</v>
      </c>
      <c r="L33" s="76">
        <v>1</v>
      </c>
      <c r="M33" s="76">
        <v>1</v>
      </c>
      <c r="N33" s="76"/>
      <c r="O33" s="76"/>
      <c r="P33" s="76">
        <v>1</v>
      </c>
      <c r="Q33" s="76"/>
      <c r="R33" s="76"/>
      <c r="S33" s="76">
        <v>1</v>
      </c>
      <c r="T33" s="76"/>
      <c r="U33" s="76"/>
      <c r="V33" s="49"/>
      <c r="W33" s="49"/>
      <c r="X33" s="49"/>
      <c r="Y33" s="49">
        <v>1</v>
      </c>
      <c r="Z33" s="49"/>
      <c r="AA33" s="49"/>
      <c r="AB33" s="49"/>
      <c r="AC33" s="49">
        <v>1</v>
      </c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>
        <v>1</v>
      </c>
      <c r="AO33" s="49"/>
      <c r="AP33" s="49"/>
      <c r="AQ33" s="49">
        <v>10</v>
      </c>
      <c r="AR33" s="49"/>
      <c r="AS33" s="49"/>
    </row>
    <row r="34" spans="1:45" ht="15.75" x14ac:dyDescent="0.25">
      <c r="A34" s="38">
        <v>18</v>
      </c>
      <c r="B34" s="42" t="s">
        <v>478</v>
      </c>
      <c r="C34" s="75">
        <v>2</v>
      </c>
      <c r="D34" s="76">
        <v>1</v>
      </c>
      <c r="E34" s="76">
        <v>1</v>
      </c>
      <c r="F34" s="76"/>
      <c r="G34" s="76">
        <v>5</v>
      </c>
      <c r="H34" s="76">
        <v>1</v>
      </c>
      <c r="I34" s="76">
        <v>1</v>
      </c>
      <c r="J34" s="76"/>
      <c r="K34" s="76">
        <v>1</v>
      </c>
      <c r="L34" s="76">
        <v>1</v>
      </c>
      <c r="M34" s="76">
        <v>1</v>
      </c>
      <c r="N34" s="76"/>
      <c r="O34" s="76"/>
      <c r="P34" s="76">
        <v>1</v>
      </c>
      <c r="Q34" s="76"/>
      <c r="R34" s="76"/>
      <c r="S34" s="76">
        <v>1</v>
      </c>
      <c r="T34" s="76"/>
      <c r="U34" s="76"/>
      <c r="V34" s="49"/>
      <c r="W34" s="49"/>
      <c r="X34" s="49"/>
      <c r="Y34" s="49">
        <v>1</v>
      </c>
      <c r="Z34" s="49"/>
      <c r="AA34" s="49"/>
      <c r="AB34" s="49"/>
      <c r="AC34" s="49">
        <v>1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>
        <v>1</v>
      </c>
      <c r="AO34" s="49"/>
      <c r="AP34" s="49"/>
      <c r="AQ34" s="49">
        <v>10</v>
      </c>
      <c r="AR34" s="49"/>
      <c r="AS34" s="49"/>
    </row>
    <row r="35" spans="1:45" ht="15.75" x14ac:dyDescent="0.25">
      <c r="A35" s="38">
        <v>19</v>
      </c>
      <c r="B35" s="42" t="s">
        <v>479</v>
      </c>
      <c r="C35" s="75">
        <v>2</v>
      </c>
      <c r="D35" s="76">
        <v>1</v>
      </c>
      <c r="E35" s="76">
        <v>1</v>
      </c>
      <c r="F35" s="76"/>
      <c r="G35" s="76">
        <v>5</v>
      </c>
      <c r="H35" s="76">
        <v>1</v>
      </c>
      <c r="I35" s="76">
        <v>1</v>
      </c>
      <c r="J35" s="76"/>
      <c r="K35" s="76">
        <v>1</v>
      </c>
      <c r="L35" s="76">
        <v>1</v>
      </c>
      <c r="M35" s="76">
        <v>1</v>
      </c>
      <c r="N35" s="76"/>
      <c r="O35" s="76"/>
      <c r="P35" s="76">
        <v>1</v>
      </c>
      <c r="Q35" s="76"/>
      <c r="R35" s="76"/>
      <c r="S35" s="76">
        <v>1</v>
      </c>
      <c r="T35" s="76"/>
      <c r="U35" s="76"/>
      <c r="V35" s="49"/>
      <c r="W35" s="49"/>
      <c r="X35" s="49"/>
      <c r="Y35" s="49">
        <v>1</v>
      </c>
      <c r="Z35" s="49"/>
      <c r="AA35" s="49"/>
      <c r="AB35" s="49"/>
      <c r="AC35" s="49">
        <v>1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>
        <v>1</v>
      </c>
      <c r="AO35" s="49"/>
      <c r="AP35" s="49"/>
      <c r="AQ35" s="49">
        <v>10</v>
      </c>
      <c r="AR35" s="49"/>
      <c r="AS35" s="49"/>
    </row>
    <row r="36" spans="1:45" ht="15.75" x14ac:dyDescent="0.25">
      <c r="A36" s="38">
        <v>20</v>
      </c>
      <c r="B36" s="42" t="s">
        <v>480</v>
      </c>
      <c r="C36" s="75">
        <v>2</v>
      </c>
      <c r="D36" s="76">
        <v>1</v>
      </c>
      <c r="E36" s="76">
        <v>1</v>
      </c>
      <c r="F36" s="76"/>
      <c r="G36" s="76">
        <v>5</v>
      </c>
      <c r="H36" s="76">
        <v>1</v>
      </c>
      <c r="I36" s="76">
        <v>1</v>
      </c>
      <c r="J36" s="76"/>
      <c r="K36" s="76">
        <v>1</v>
      </c>
      <c r="L36" s="76">
        <v>1</v>
      </c>
      <c r="M36" s="76">
        <v>1</v>
      </c>
      <c r="N36" s="76"/>
      <c r="O36" s="76"/>
      <c r="P36" s="76">
        <v>1</v>
      </c>
      <c r="Q36" s="76"/>
      <c r="R36" s="76"/>
      <c r="S36" s="76">
        <v>1</v>
      </c>
      <c r="T36" s="76"/>
      <c r="U36" s="76"/>
      <c r="V36" s="49"/>
      <c r="W36" s="49"/>
      <c r="X36" s="49"/>
      <c r="Y36" s="49">
        <v>1</v>
      </c>
      <c r="Z36" s="49"/>
      <c r="AA36" s="49"/>
      <c r="AB36" s="49"/>
      <c r="AC36" s="49">
        <v>1</v>
      </c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>
        <v>1</v>
      </c>
      <c r="AO36" s="49"/>
      <c r="AP36" s="49"/>
      <c r="AQ36" s="49">
        <v>10</v>
      </c>
      <c r="AR36" s="49"/>
      <c r="AS36" s="49"/>
    </row>
    <row r="37" spans="1:45" ht="15.75" x14ac:dyDescent="0.25">
      <c r="A37" s="38">
        <v>21</v>
      </c>
      <c r="B37" s="42" t="s">
        <v>481</v>
      </c>
      <c r="C37" s="75">
        <v>2</v>
      </c>
      <c r="D37" s="76">
        <v>1</v>
      </c>
      <c r="E37" s="76">
        <v>1</v>
      </c>
      <c r="F37" s="76"/>
      <c r="G37" s="76">
        <v>5</v>
      </c>
      <c r="H37" s="76">
        <v>1</v>
      </c>
      <c r="I37" s="76">
        <v>1</v>
      </c>
      <c r="J37" s="76"/>
      <c r="K37" s="76">
        <v>1</v>
      </c>
      <c r="L37" s="76">
        <v>1</v>
      </c>
      <c r="M37" s="76">
        <v>1</v>
      </c>
      <c r="N37" s="76"/>
      <c r="O37" s="76"/>
      <c r="P37" s="76">
        <v>1</v>
      </c>
      <c r="Q37" s="76"/>
      <c r="R37" s="76"/>
      <c r="S37" s="76">
        <v>1</v>
      </c>
      <c r="T37" s="76"/>
      <c r="U37" s="76"/>
      <c r="V37" s="49"/>
      <c r="W37" s="49"/>
      <c r="X37" s="49"/>
      <c r="Y37" s="49">
        <v>1</v>
      </c>
      <c r="Z37" s="49"/>
      <c r="AA37" s="49"/>
      <c r="AB37" s="49"/>
      <c r="AC37" s="49">
        <v>1</v>
      </c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>
        <v>1</v>
      </c>
      <c r="AO37" s="49"/>
      <c r="AP37" s="49"/>
      <c r="AQ37" s="49">
        <v>10</v>
      </c>
      <c r="AR37" s="49"/>
      <c r="AS37" s="49"/>
    </row>
    <row r="38" spans="1:45" ht="15.75" x14ac:dyDescent="0.25">
      <c r="A38" s="38">
        <v>22</v>
      </c>
      <c r="B38" s="42" t="s">
        <v>504</v>
      </c>
      <c r="C38" s="75">
        <v>2</v>
      </c>
      <c r="D38" s="76">
        <v>1</v>
      </c>
      <c r="E38" s="76">
        <v>1</v>
      </c>
      <c r="F38" s="76"/>
      <c r="G38" s="76">
        <v>5</v>
      </c>
      <c r="H38" s="76">
        <v>1</v>
      </c>
      <c r="I38" s="76">
        <v>1</v>
      </c>
      <c r="J38" s="76"/>
      <c r="K38" s="76">
        <v>1</v>
      </c>
      <c r="L38" s="76">
        <v>1</v>
      </c>
      <c r="M38" s="76">
        <v>1</v>
      </c>
      <c r="N38" s="76"/>
      <c r="O38" s="76"/>
      <c r="P38" s="76">
        <v>1</v>
      </c>
      <c r="Q38" s="76"/>
      <c r="R38" s="76"/>
      <c r="S38" s="76">
        <v>1</v>
      </c>
      <c r="T38" s="76"/>
      <c r="U38" s="76"/>
      <c r="V38" s="49"/>
      <c r="W38" s="49"/>
      <c r="X38" s="49"/>
      <c r="Y38" s="49">
        <v>1</v>
      </c>
      <c r="Z38" s="49"/>
      <c r="AA38" s="49"/>
      <c r="AB38" s="49"/>
      <c r="AC38" s="49">
        <v>1</v>
      </c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>
        <v>1</v>
      </c>
      <c r="AO38" s="49"/>
      <c r="AP38" s="49"/>
      <c r="AQ38" s="49">
        <v>10</v>
      </c>
      <c r="AR38" s="49"/>
      <c r="AS38" s="49"/>
    </row>
    <row r="39" spans="1:45" ht="15.75" x14ac:dyDescent="0.25">
      <c r="A39" s="38">
        <v>23</v>
      </c>
      <c r="B39" s="42" t="s">
        <v>505</v>
      </c>
      <c r="C39" s="75">
        <v>2</v>
      </c>
      <c r="D39" s="76">
        <v>1</v>
      </c>
      <c r="E39" s="76">
        <v>1</v>
      </c>
      <c r="F39" s="76"/>
      <c r="G39" s="76">
        <v>5</v>
      </c>
      <c r="H39" s="76">
        <v>1</v>
      </c>
      <c r="I39" s="76">
        <v>1</v>
      </c>
      <c r="J39" s="76"/>
      <c r="K39" s="76">
        <v>1</v>
      </c>
      <c r="L39" s="76">
        <v>1</v>
      </c>
      <c r="M39" s="76">
        <v>1</v>
      </c>
      <c r="N39" s="76"/>
      <c r="O39" s="76"/>
      <c r="P39" s="76">
        <v>1</v>
      </c>
      <c r="Q39" s="76"/>
      <c r="R39" s="76"/>
      <c r="S39" s="76">
        <v>1</v>
      </c>
      <c r="T39" s="76"/>
      <c r="U39" s="76"/>
      <c r="V39" s="49"/>
      <c r="W39" s="49"/>
      <c r="X39" s="49"/>
      <c r="Y39" s="49">
        <v>1</v>
      </c>
      <c r="Z39" s="49"/>
      <c r="AA39" s="49"/>
      <c r="AB39" s="49"/>
      <c r="AC39" s="49">
        <v>1</v>
      </c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>
        <v>1</v>
      </c>
      <c r="AO39" s="49"/>
      <c r="AP39" s="49"/>
      <c r="AQ39" s="49">
        <v>10</v>
      </c>
      <c r="AR39" s="49"/>
      <c r="AS39" s="49"/>
    </row>
    <row r="40" spans="1:45" ht="15.75" x14ac:dyDescent="0.25">
      <c r="A40" s="38">
        <v>24</v>
      </c>
      <c r="B40" s="42" t="s">
        <v>506</v>
      </c>
      <c r="C40" s="75">
        <v>2</v>
      </c>
      <c r="D40" s="76">
        <v>1</v>
      </c>
      <c r="E40" s="76">
        <v>1</v>
      </c>
      <c r="F40" s="76"/>
      <c r="G40" s="76">
        <v>5</v>
      </c>
      <c r="H40" s="76">
        <v>1</v>
      </c>
      <c r="I40" s="76">
        <v>1</v>
      </c>
      <c r="J40" s="76"/>
      <c r="K40" s="76">
        <v>1</v>
      </c>
      <c r="L40" s="76">
        <v>1</v>
      </c>
      <c r="M40" s="76">
        <v>1</v>
      </c>
      <c r="N40" s="76"/>
      <c r="O40" s="76"/>
      <c r="P40" s="76">
        <v>1</v>
      </c>
      <c r="Q40" s="76"/>
      <c r="R40" s="76"/>
      <c r="S40" s="76">
        <v>1</v>
      </c>
      <c r="T40" s="76"/>
      <c r="U40" s="76"/>
      <c r="V40" s="49"/>
      <c r="W40" s="49"/>
      <c r="X40" s="49"/>
      <c r="Y40" s="49">
        <v>1</v>
      </c>
      <c r="Z40" s="49"/>
      <c r="AA40" s="49"/>
      <c r="AB40" s="49"/>
      <c r="AC40" s="49">
        <v>1</v>
      </c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>
        <v>1</v>
      </c>
      <c r="AO40" s="49"/>
      <c r="AP40" s="49"/>
      <c r="AQ40" s="49">
        <v>10</v>
      </c>
      <c r="AR40" s="49"/>
      <c r="AS40" s="49"/>
    </row>
    <row r="41" spans="1:45" ht="15.75" x14ac:dyDescent="0.25">
      <c r="A41" s="38">
        <v>25</v>
      </c>
      <c r="B41" s="42" t="s">
        <v>507</v>
      </c>
      <c r="C41" s="75">
        <v>2</v>
      </c>
      <c r="D41" s="76">
        <v>1</v>
      </c>
      <c r="E41" s="76">
        <v>1</v>
      </c>
      <c r="F41" s="76"/>
      <c r="G41" s="76">
        <v>5</v>
      </c>
      <c r="H41" s="76">
        <v>1</v>
      </c>
      <c r="I41" s="76">
        <v>1</v>
      </c>
      <c r="J41" s="76"/>
      <c r="K41" s="76">
        <v>1</v>
      </c>
      <c r="L41" s="76">
        <v>1</v>
      </c>
      <c r="M41" s="76">
        <v>1</v>
      </c>
      <c r="N41" s="76"/>
      <c r="O41" s="76"/>
      <c r="P41" s="76">
        <v>1</v>
      </c>
      <c r="Q41" s="76"/>
      <c r="R41" s="76"/>
      <c r="S41" s="76">
        <v>1</v>
      </c>
      <c r="T41" s="76"/>
      <c r="U41" s="76"/>
      <c r="V41" s="49"/>
      <c r="W41" s="49"/>
      <c r="X41" s="49"/>
      <c r="Y41" s="49">
        <v>1</v>
      </c>
      <c r="Z41" s="49"/>
      <c r="AA41" s="49"/>
      <c r="AB41" s="49"/>
      <c r="AC41" s="49">
        <v>1</v>
      </c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>
        <v>1</v>
      </c>
      <c r="AO41" s="49"/>
      <c r="AP41" s="49"/>
      <c r="AQ41" s="49">
        <v>10</v>
      </c>
      <c r="AR41" s="49"/>
      <c r="AS41" s="49"/>
    </row>
    <row r="42" spans="1:45" ht="15.75" x14ac:dyDescent="0.25">
      <c r="A42" s="38">
        <v>26</v>
      </c>
      <c r="B42" s="42" t="s">
        <v>508</v>
      </c>
      <c r="C42" s="75">
        <v>2</v>
      </c>
      <c r="D42" s="76">
        <v>1</v>
      </c>
      <c r="E42" s="76">
        <v>1</v>
      </c>
      <c r="F42" s="76"/>
      <c r="G42" s="76">
        <v>5</v>
      </c>
      <c r="H42" s="76">
        <v>1</v>
      </c>
      <c r="I42" s="76">
        <v>1</v>
      </c>
      <c r="J42" s="76"/>
      <c r="K42" s="76">
        <v>1</v>
      </c>
      <c r="L42" s="76">
        <v>1</v>
      </c>
      <c r="M42" s="76">
        <v>1</v>
      </c>
      <c r="N42" s="76"/>
      <c r="O42" s="76"/>
      <c r="P42" s="76">
        <v>1</v>
      </c>
      <c r="Q42" s="76"/>
      <c r="R42" s="76"/>
      <c r="S42" s="76">
        <v>1</v>
      </c>
      <c r="T42" s="76"/>
      <c r="U42" s="76"/>
      <c r="V42" s="49"/>
      <c r="W42" s="49"/>
      <c r="X42" s="49"/>
      <c r="Y42" s="49">
        <v>1</v>
      </c>
      <c r="Z42" s="49"/>
      <c r="AA42" s="49"/>
      <c r="AB42" s="49"/>
      <c r="AC42" s="49">
        <v>1</v>
      </c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>
        <v>1</v>
      </c>
      <c r="AO42" s="49"/>
      <c r="AP42" s="49"/>
      <c r="AQ42" s="49">
        <v>10</v>
      </c>
      <c r="AR42" s="49"/>
      <c r="AS42" s="49"/>
    </row>
    <row r="43" spans="1:45" ht="15.75" x14ac:dyDescent="0.25">
      <c r="A43" s="38">
        <v>27</v>
      </c>
      <c r="B43" s="42" t="s">
        <v>509</v>
      </c>
      <c r="C43" s="75">
        <v>2</v>
      </c>
      <c r="D43" s="76">
        <v>1</v>
      </c>
      <c r="E43" s="76">
        <v>1</v>
      </c>
      <c r="F43" s="76"/>
      <c r="G43" s="76">
        <v>5</v>
      </c>
      <c r="H43" s="76">
        <v>1</v>
      </c>
      <c r="I43" s="76">
        <v>1</v>
      </c>
      <c r="J43" s="76"/>
      <c r="K43" s="76">
        <v>1</v>
      </c>
      <c r="L43" s="76">
        <v>1</v>
      </c>
      <c r="M43" s="76">
        <v>1</v>
      </c>
      <c r="N43" s="76"/>
      <c r="O43" s="76"/>
      <c r="P43" s="76">
        <v>1</v>
      </c>
      <c r="Q43" s="76"/>
      <c r="R43" s="76"/>
      <c r="S43" s="76">
        <v>1</v>
      </c>
      <c r="T43" s="76"/>
      <c r="U43" s="76"/>
      <c r="V43" s="49"/>
      <c r="W43" s="49"/>
      <c r="X43" s="49"/>
      <c r="Y43" s="49">
        <v>1</v>
      </c>
      <c r="Z43" s="49"/>
      <c r="AA43" s="49"/>
      <c r="AB43" s="49"/>
      <c r="AC43" s="49">
        <v>1</v>
      </c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>
        <v>1</v>
      </c>
      <c r="AO43" s="49"/>
      <c r="AP43" s="49"/>
      <c r="AQ43" s="49">
        <v>10</v>
      </c>
      <c r="AR43" s="49"/>
      <c r="AS43" s="49"/>
    </row>
    <row r="44" spans="1:45" ht="15.75" x14ac:dyDescent="0.25">
      <c r="A44" s="38">
        <v>28</v>
      </c>
      <c r="B44" s="42" t="s">
        <v>510</v>
      </c>
      <c r="C44" s="75">
        <v>2</v>
      </c>
      <c r="D44" s="76">
        <v>1</v>
      </c>
      <c r="E44" s="76">
        <v>1</v>
      </c>
      <c r="F44" s="76"/>
      <c r="G44" s="76">
        <v>5</v>
      </c>
      <c r="H44" s="76">
        <v>1</v>
      </c>
      <c r="I44" s="76">
        <v>1</v>
      </c>
      <c r="J44" s="76"/>
      <c r="K44" s="76">
        <v>1</v>
      </c>
      <c r="L44" s="76">
        <v>1</v>
      </c>
      <c r="M44" s="76">
        <v>1</v>
      </c>
      <c r="N44" s="76"/>
      <c r="O44" s="76"/>
      <c r="P44" s="76">
        <v>1</v>
      </c>
      <c r="Q44" s="76"/>
      <c r="R44" s="76"/>
      <c r="S44" s="76">
        <v>1</v>
      </c>
      <c r="T44" s="76"/>
      <c r="U44" s="76"/>
      <c r="V44" s="49"/>
      <c r="W44" s="49"/>
      <c r="X44" s="49"/>
      <c r="Y44" s="49">
        <v>1</v>
      </c>
      <c r="Z44" s="49"/>
      <c r="AA44" s="49"/>
      <c r="AB44" s="49"/>
      <c r="AC44" s="49">
        <v>1</v>
      </c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>
        <v>1</v>
      </c>
      <c r="AO44" s="49"/>
      <c r="AP44" s="49"/>
      <c r="AQ44" s="49"/>
      <c r="AR44" s="49"/>
      <c r="AS44" s="49"/>
    </row>
    <row r="45" spans="1:45" ht="15.75" x14ac:dyDescent="0.25">
      <c r="A45" s="38">
        <v>29</v>
      </c>
      <c r="B45" s="42" t="s">
        <v>200</v>
      </c>
      <c r="C45" s="75">
        <v>2</v>
      </c>
      <c r="D45" s="76">
        <v>1</v>
      </c>
      <c r="E45" s="76">
        <v>1</v>
      </c>
      <c r="F45" s="76"/>
      <c r="G45" s="76">
        <v>5</v>
      </c>
      <c r="H45" s="76">
        <v>1</v>
      </c>
      <c r="I45" s="76">
        <v>1</v>
      </c>
      <c r="J45" s="76"/>
      <c r="K45" s="76">
        <v>1</v>
      </c>
      <c r="L45" s="76">
        <v>1</v>
      </c>
      <c r="M45" s="76">
        <v>1</v>
      </c>
      <c r="N45" s="76"/>
      <c r="O45" s="76"/>
      <c r="P45" s="76">
        <v>1</v>
      </c>
      <c r="Q45" s="76"/>
      <c r="R45" s="76"/>
      <c r="S45" s="76">
        <v>1</v>
      </c>
      <c r="T45" s="76"/>
      <c r="U45" s="76"/>
      <c r="V45" s="49"/>
      <c r="W45" s="49"/>
      <c r="X45" s="49"/>
      <c r="Y45" s="49">
        <v>1</v>
      </c>
      <c r="Z45" s="49"/>
      <c r="AA45" s="49"/>
      <c r="AB45" s="49"/>
      <c r="AC45" s="49">
        <v>1</v>
      </c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>
        <v>1</v>
      </c>
      <c r="AO45" s="49"/>
      <c r="AP45" s="49"/>
      <c r="AQ45" s="49">
        <v>10</v>
      </c>
      <c r="AR45" s="49"/>
      <c r="AS45" s="49"/>
    </row>
    <row r="46" spans="1:45" ht="18.75" x14ac:dyDescent="0.25">
      <c r="A46" s="25"/>
      <c r="B46" s="43" t="s">
        <v>1</v>
      </c>
      <c r="C46" s="34">
        <f>SUM(C17:C45)</f>
        <v>58</v>
      </c>
      <c r="D46" s="34">
        <f t="shared" ref="D46:AS46" si="0">SUM(D17:D45)</f>
        <v>29</v>
      </c>
      <c r="E46" s="34">
        <f t="shared" si="0"/>
        <v>29</v>
      </c>
      <c r="F46" s="34">
        <f t="shared" si="0"/>
        <v>0</v>
      </c>
      <c r="G46" s="34">
        <f t="shared" si="0"/>
        <v>145</v>
      </c>
      <c r="H46" s="34">
        <f t="shared" si="0"/>
        <v>29</v>
      </c>
      <c r="I46" s="34">
        <f t="shared" si="0"/>
        <v>29</v>
      </c>
      <c r="J46" s="34">
        <f t="shared" si="0"/>
        <v>0</v>
      </c>
      <c r="K46" s="34">
        <f t="shared" si="0"/>
        <v>29</v>
      </c>
      <c r="L46" s="34">
        <f t="shared" si="0"/>
        <v>29</v>
      </c>
      <c r="M46" s="34">
        <f t="shared" si="0"/>
        <v>29</v>
      </c>
      <c r="N46" s="34">
        <f t="shared" si="0"/>
        <v>0</v>
      </c>
      <c r="O46" s="34">
        <f t="shared" si="0"/>
        <v>0</v>
      </c>
      <c r="P46" s="34">
        <f t="shared" si="0"/>
        <v>29</v>
      </c>
      <c r="Q46" s="34">
        <f t="shared" si="0"/>
        <v>0</v>
      </c>
      <c r="R46" s="34">
        <f t="shared" si="0"/>
        <v>0</v>
      </c>
      <c r="S46" s="34">
        <f t="shared" si="0"/>
        <v>29</v>
      </c>
      <c r="T46" s="34">
        <f t="shared" si="0"/>
        <v>0</v>
      </c>
      <c r="U46" s="34">
        <f t="shared" si="0"/>
        <v>0</v>
      </c>
      <c r="V46" s="34">
        <f t="shared" si="0"/>
        <v>0</v>
      </c>
      <c r="W46" s="34">
        <f t="shared" si="0"/>
        <v>0</v>
      </c>
      <c r="X46" s="34">
        <f t="shared" si="0"/>
        <v>0</v>
      </c>
      <c r="Y46" s="34">
        <f t="shared" si="0"/>
        <v>29</v>
      </c>
      <c r="Z46" s="34">
        <f t="shared" si="0"/>
        <v>0</v>
      </c>
      <c r="AA46" s="34">
        <f t="shared" si="0"/>
        <v>0</v>
      </c>
      <c r="AB46" s="34">
        <f t="shared" si="0"/>
        <v>0</v>
      </c>
      <c r="AC46" s="34">
        <f t="shared" si="0"/>
        <v>29</v>
      </c>
      <c r="AD46" s="34">
        <f t="shared" si="0"/>
        <v>0</v>
      </c>
      <c r="AE46" s="34">
        <f t="shared" si="0"/>
        <v>0</v>
      </c>
      <c r="AF46" s="34">
        <f t="shared" si="0"/>
        <v>0</v>
      </c>
      <c r="AG46" s="34">
        <f t="shared" si="0"/>
        <v>0</v>
      </c>
      <c r="AH46" s="34">
        <f t="shared" si="0"/>
        <v>0</v>
      </c>
      <c r="AI46" s="34">
        <f t="shared" si="0"/>
        <v>0</v>
      </c>
      <c r="AJ46" s="34">
        <f t="shared" si="0"/>
        <v>0</v>
      </c>
      <c r="AK46" s="34">
        <f t="shared" si="0"/>
        <v>0</v>
      </c>
      <c r="AL46" s="34">
        <f t="shared" si="0"/>
        <v>0</v>
      </c>
      <c r="AM46" s="34">
        <f t="shared" si="0"/>
        <v>0</v>
      </c>
      <c r="AN46" s="34">
        <f t="shared" si="0"/>
        <v>29</v>
      </c>
      <c r="AO46" s="34">
        <f t="shared" si="0"/>
        <v>0</v>
      </c>
      <c r="AP46" s="34">
        <f t="shared" si="0"/>
        <v>0</v>
      </c>
      <c r="AQ46" s="34">
        <f t="shared" si="0"/>
        <v>260</v>
      </c>
      <c r="AR46" s="34">
        <f t="shared" si="0"/>
        <v>0</v>
      </c>
      <c r="AS46" s="34">
        <f t="shared" si="0"/>
        <v>0</v>
      </c>
    </row>
    <row r="50" spans="2:24" ht="15.75" x14ac:dyDescent="0.25">
      <c r="B50" s="63" t="s">
        <v>291</v>
      </c>
      <c r="C50" s="64" t="s">
        <v>300</v>
      </c>
      <c r="I50" s="65"/>
      <c r="J50" s="65"/>
      <c r="K50" s="65"/>
      <c r="L50" s="65"/>
      <c r="M50" s="65"/>
      <c r="N50" s="65"/>
      <c r="O50" s="65"/>
      <c r="R50" s="66"/>
      <c r="S50" s="66"/>
      <c r="T50" s="66"/>
      <c r="U50" s="66"/>
      <c r="V50" s="66"/>
      <c r="W50" s="66"/>
      <c r="X50" s="66"/>
    </row>
    <row r="51" spans="2:24" ht="15.75" x14ac:dyDescent="0.25">
      <c r="C51"/>
      <c r="K51" s="67" t="s">
        <v>293</v>
      </c>
      <c r="U51" s="64" t="s">
        <v>292</v>
      </c>
    </row>
  </sheetData>
  <mergeCells count="7">
    <mergeCell ref="A10:AS10"/>
    <mergeCell ref="A11:AS11"/>
    <mergeCell ref="A14:A15"/>
    <mergeCell ref="B14:B15"/>
    <mergeCell ref="C14:AS14"/>
    <mergeCell ref="R12:S12"/>
    <mergeCell ref="T12:U12"/>
  </mergeCells>
  <conditionalFormatting sqref="B17:B45">
    <cfRule type="duplicateValues" dxfId="79" priority="705"/>
  </conditionalFormatting>
  <conditionalFormatting sqref="B21">
    <cfRule type="duplicateValues" dxfId="78" priority="565"/>
  </conditionalFormatting>
  <conditionalFormatting sqref="B22:B24">
    <cfRule type="duplicateValues" dxfId="77" priority="532"/>
  </conditionalFormatting>
  <conditionalFormatting sqref="B25:B44">
    <cfRule type="duplicateValues" dxfId="76" priority="707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CC"/>
    <pageSetUpPr fitToPage="1"/>
  </sheetPr>
  <dimension ref="A10:AS25"/>
  <sheetViews>
    <sheetView view="pageBreakPreview" zoomScale="85" zoomScaleSheetLayoutView="85" workbookViewId="0">
      <selection activeCell="O23" sqref="O23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296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 t="s">
        <v>288</v>
      </c>
      <c r="R12" s="112" t="str">
        <f>'Справочник-не смотрим!'!B1</f>
        <v>февраль</v>
      </c>
      <c r="S12" s="112"/>
      <c r="T12" s="112">
        <f>'Справочник-не смотрим!'!B2</f>
        <v>2026</v>
      </c>
      <c r="U12" s="112"/>
      <c r="V12" s="61" t="s">
        <v>289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38">
        <v>1</v>
      </c>
      <c r="B17" s="42" t="s">
        <v>349</v>
      </c>
      <c r="C17" s="75">
        <v>2</v>
      </c>
      <c r="D17" s="76">
        <v>1</v>
      </c>
      <c r="E17" s="76">
        <v>1</v>
      </c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/>
      <c r="N17" s="76"/>
      <c r="O17" s="76"/>
      <c r="P17" s="76"/>
      <c r="Q17" s="76"/>
      <c r="R17" s="76"/>
      <c r="S17" s="76"/>
      <c r="T17" s="76"/>
      <c r="U17" s="76"/>
      <c r="V17" s="49"/>
      <c r="W17" s="49"/>
      <c r="X17" s="49"/>
      <c r="Y17" s="49">
        <v>1</v>
      </c>
      <c r="Z17" s="49">
        <v>1</v>
      </c>
      <c r="AA17" s="49">
        <v>1</v>
      </c>
      <c r="AB17" s="49">
        <v>1</v>
      </c>
      <c r="AC17" s="49">
        <v>1</v>
      </c>
      <c r="AD17" s="49">
        <v>1</v>
      </c>
      <c r="AE17" s="49">
        <v>1</v>
      </c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</row>
    <row r="18" spans="1:45" ht="15.75" x14ac:dyDescent="0.25">
      <c r="A18" s="38">
        <v>2</v>
      </c>
      <c r="B18" s="42" t="s">
        <v>511</v>
      </c>
      <c r="C18" s="75">
        <v>2</v>
      </c>
      <c r="D18" s="76">
        <v>1</v>
      </c>
      <c r="E18" s="76">
        <v>1</v>
      </c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/>
      <c r="N18" s="76"/>
      <c r="O18" s="76"/>
      <c r="P18" s="76"/>
      <c r="Q18" s="76"/>
      <c r="R18" s="76"/>
      <c r="S18" s="76"/>
      <c r="T18" s="76"/>
      <c r="U18" s="76"/>
      <c r="V18" s="49"/>
      <c r="W18" s="49"/>
      <c r="X18" s="49"/>
      <c r="Y18" s="49">
        <v>1</v>
      </c>
      <c r="Z18" s="49">
        <v>1</v>
      </c>
      <c r="AA18" s="49">
        <v>1</v>
      </c>
      <c r="AB18" s="49">
        <v>1</v>
      </c>
      <c r="AC18" s="49">
        <v>1</v>
      </c>
      <c r="AD18" s="49">
        <v>1</v>
      </c>
      <c r="AE18" s="49">
        <v>1</v>
      </c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</row>
    <row r="19" spans="1:45" ht="15.75" x14ac:dyDescent="0.25">
      <c r="A19" s="38">
        <v>3</v>
      </c>
      <c r="B19" s="42" t="s">
        <v>404</v>
      </c>
      <c r="C19" s="75">
        <v>2</v>
      </c>
      <c r="D19" s="76">
        <v>1</v>
      </c>
      <c r="E19" s="76">
        <v>1</v>
      </c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/>
      <c r="N19" s="76"/>
      <c r="O19" s="76"/>
      <c r="P19" s="76"/>
      <c r="Q19" s="76"/>
      <c r="R19" s="76"/>
      <c r="S19" s="76"/>
      <c r="T19" s="76"/>
      <c r="U19" s="76"/>
      <c r="V19" s="49"/>
      <c r="W19" s="49"/>
      <c r="X19" s="49"/>
      <c r="Y19" s="49">
        <v>1</v>
      </c>
      <c r="Z19" s="49">
        <v>1</v>
      </c>
      <c r="AA19" s="49">
        <v>1</v>
      </c>
      <c r="AB19" s="49">
        <v>1</v>
      </c>
      <c r="AC19" s="49">
        <v>1</v>
      </c>
      <c r="AD19" s="49">
        <v>1</v>
      </c>
      <c r="AE19" s="49">
        <v>1</v>
      </c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</row>
    <row r="20" spans="1:45" ht="18.75" x14ac:dyDescent="0.25">
      <c r="A20" s="25"/>
      <c r="B20" s="48" t="s">
        <v>1</v>
      </c>
      <c r="C20" s="34">
        <f t="shared" ref="C20:AS20" si="0">SUM(C17:C19)</f>
        <v>6</v>
      </c>
      <c r="D20" s="34">
        <f t="shared" si="0"/>
        <v>3</v>
      </c>
      <c r="E20" s="34">
        <f t="shared" si="0"/>
        <v>3</v>
      </c>
      <c r="F20" s="34">
        <f t="shared" si="0"/>
        <v>0</v>
      </c>
      <c r="G20" s="34">
        <f t="shared" si="0"/>
        <v>15</v>
      </c>
      <c r="H20" s="34">
        <f t="shared" si="0"/>
        <v>3</v>
      </c>
      <c r="I20" s="34">
        <f t="shared" si="0"/>
        <v>3</v>
      </c>
      <c r="J20" s="34">
        <f t="shared" si="0"/>
        <v>0</v>
      </c>
      <c r="K20" s="34">
        <f t="shared" si="0"/>
        <v>3</v>
      </c>
      <c r="L20" s="34">
        <f t="shared" si="0"/>
        <v>3</v>
      </c>
      <c r="M20" s="34">
        <f t="shared" si="0"/>
        <v>0</v>
      </c>
      <c r="N20" s="34">
        <f t="shared" si="0"/>
        <v>0</v>
      </c>
      <c r="O20" s="34">
        <f t="shared" si="0"/>
        <v>0</v>
      </c>
      <c r="P20" s="34">
        <f t="shared" si="0"/>
        <v>0</v>
      </c>
      <c r="Q20" s="34">
        <f t="shared" si="0"/>
        <v>0</v>
      </c>
      <c r="R20" s="34">
        <f t="shared" si="0"/>
        <v>0</v>
      </c>
      <c r="S20" s="34">
        <f t="shared" si="0"/>
        <v>0</v>
      </c>
      <c r="T20" s="34">
        <f t="shared" si="0"/>
        <v>0</v>
      </c>
      <c r="U20" s="34">
        <f t="shared" si="0"/>
        <v>0</v>
      </c>
      <c r="V20" s="34">
        <f t="shared" si="0"/>
        <v>0</v>
      </c>
      <c r="W20" s="34">
        <f t="shared" si="0"/>
        <v>0</v>
      </c>
      <c r="X20" s="34">
        <f t="shared" si="0"/>
        <v>0</v>
      </c>
      <c r="Y20" s="34">
        <f t="shared" si="0"/>
        <v>3</v>
      </c>
      <c r="Z20" s="34">
        <f t="shared" si="0"/>
        <v>3</v>
      </c>
      <c r="AA20" s="34">
        <f t="shared" si="0"/>
        <v>3</v>
      </c>
      <c r="AB20" s="34">
        <f t="shared" si="0"/>
        <v>3</v>
      </c>
      <c r="AC20" s="34">
        <f t="shared" si="0"/>
        <v>3</v>
      </c>
      <c r="AD20" s="34">
        <f t="shared" si="0"/>
        <v>3</v>
      </c>
      <c r="AE20" s="34">
        <f t="shared" si="0"/>
        <v>3</v>
      </c>
      <c r="AF20" s="34">
        <f t="shared" si="0"/>
        <v>0</v>
      </c>
      <c r="AG20" s="34">
        <f t="shared" si="0"/>
        <v>0</v>
      </c>
      <c r="AH20" s="34">
        <f t="shared" si="0"/>
        <v>0</v>
      </c>
      <c r="AI20" s="34">
        <f t="shared" si="0"/>
        <v>0</v>
      </c>
      <c r="AJ20" s="34">
        <f t="shared" si="0"/>
        <v>0</v>
      </c>
      <c r="AK20" s="34">
        <f t="shared" si="0"/>
        <v>0</v>
      </c>
      <c r="AL20" s="34">
        <f t="shared" si="0"/>
        <v>0</v>
      </c>
      <c r="AM20" s="34">
        <f t="shared" si="0"/>
        <v>0</v>
      </c>
      <c r="AN20" s="34">
        <f t="shared" si="0"/>
        <v>0</v>
      </c>
      <c r="AO20" s="34">
        <f t="shared" si="0"/>
        <v>0</v>
      </c>
      <c r="AP20" s="34">
        <f t="shared" si="0"/>
        <v>0</v>
      </c>
      <c r="AQ20" s="34">
        <f t="shared" si="0"/>
        <v>0</v>
      </c>
      <c r="AR20" s="34">
        <f t="shared" si="0"/>
        <v>0</v>
      </c>
      <c r="AS20" s="34">
        <f t="shared" si="0"/>
        <v>0</v>
      </c>
    </row>
    <row r="24" spans="1:45" ht="15.75" x14ac:dyDescent="0.25">
      <c r="B24" s="63" t="s">
        <v>291</v>
      </c>
      <c r="C24" s="64" t="s">
        <v>300</v>
      </c>
      <c r="I24" s="65"/>
      <c r="J24" s="65"/>
      <c r="K24" s="65"/>
      <c r="L24" s="65"/>
      <c r="M24" s="65"/>
      <c r="N24" s="65"/>
      <c r="O24" s="65"/>
      <c r="R24" s="66"/>
      <c r="S24" s="66"/>
      <c r="T24" s="66"/>
      <c r="U24" s="66"/>
      <c r="V24" s="66"/>
      <c r="W24" s="66"/>
      <c r="X24" s="66"/>
    </row>
    <row r="25" spans="1:45" ht="15.75" x14ac:dyDescent="0.25">
      <c r="C25"/>
      <c r="K25" s="67" t="s">
        <v>293</v>
      </c>
      <c r="U25" s="64" t="s">
        <v>292</v>
      </c>
    </row>
  </sheetData>
  <mergeCells count="7">
    <mergeCell ref="A10:AS10"/>
    <mergeCell ref="A11:AS11"/>
    <mergeCell ref="A14:A15"/>
    <mergeCell ref="B14:B15"/>
    <mergeCell ref="C14:AS14"/>
    <mergeCell ref="R12:S12"/>
    <mergeCell ref="T12:U12"/>
  </mergeCells>
  <conditionalFormatting sqref="B17:B19">
    <cfRule type="duplicateValues" dxfId="75" priority="571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0.59999389629810485"/>
    <pageSetUpPr fitToPage="1"/>
  </sheetPr>
  <dimension ref="A10:AS70"/>
  <sheetViews>
    <sheetView view="pageBreakPreview" topLeftCell="A39" zoomScale="115" zoomScaleSheetLayoutView="115" workbookViewId="0">
      <selection activeCell="B17" sqref="B17:B64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297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 t="s">
        <v>288</v>
      </c>
      <c r="R12" s="112" t="str">
        <f>'Справочник-не смотрим!'!B1</f>
        <v>февраль</v>
      </c>
      <c r="S12" s="112"/>
      <c r="T12" s="112">
        <f>'Справочник-не смотрим!'!B2</f>
        <v>2026</v>
      </c>
      <c r="U12" s="112"/>
      <c r="V12" s="61" t="s">
        <v>289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'[2]ЗАЯВКА-не смотрим!'!C4</f>
        <v>бут.</v>
      </c>
      <c r="D16" s="4" t="str">
        <f>'[2]ЗАЯВКА-не смотрим!'!C5</f>
        <v>шт.</v>
      </c>
      <c r="E16" s="4" t="str">
        <f>'[2]ЗАЯВКА-не смотрим!'!C6</f>
        <v>упак.</v>
      </c>
      <c r="F16" s="4" t="str">
        <f>'[2]ЗАЯВКА-не смотрим!'!C7</f>
        <v>упак.</v>
      </c>
      <c r="G16" s="4" t="str">
        <f>'[2]ЗАЯВКА-не смотрим!'!C8</f>
        <v>шт.</v>
      </c>
      <c r="H16" s="4" t="str">
        <f>'[2]ЗАЯВКА-не смотрим!'!C9</f>
        <v>шт.</v>
      </c>
      <c r="I16" s="4" t="str">
        <f>'[2]ЗАЯВКА-не смотрим!'!C10</f>
        <v>шт.</v>
      </c>
      <c r="J16" s="4" t="str">
        <f>'[2]ЗАЯВКА-не смотрим!'!C11</f>
        <v>упак.</v>
      </c>
      <c r="K16" s="4" t="str">
        <f>'[2]ЗАЯВКА-не смотрим!'!C12</f>
        <v>шт.</v>
      </c>
      <c r="L16" s="4" t="str">
        <f>'[2]ЗАЯВКА-не смотрим!'!C13</f>
        <v>шт.</v>
      </c>
      <c r="M16" s="4" t="str">
        <f>'[2]ЗАЯВКА-не смотрим!'!C14</f>
        <v>упак.</v>
      </c>
      <c r="N16" s="4" t="str">
        <f>'[2]ЗАЯВКА-не смотрим!'!C15</f>
        <v>шт.</v>
      </c>
      <c r="O16" s="4" t="str">
        <f>'[2]ЗАЯВКА-не смотрим!'!C16</f>
        <v>шт.</v>
      </c>
      <c r="P16" s="4" t="str">
        <f>'[2]ЗАЯВКА-не смотрим!'!C17</f>
        <v>шт.</v>
      </c>
      <c r="Q16" s="4" t="str">
        <f>'[2]ЗАЯВКА-не смотрим!'!C18</f>
        <v>шт.</v>
      </c>
      <c r="R16" s="4" t="str">
        <f>'[2]ЗАЯВКА-не смотрим!'!C19</f>
        <v>упак.</v>
      </c>
      <c r="S16" s="4" t="str">
        <f>'[2]ЗАЯВКА-не смотрим!'!C20</f>
        <v>упак.</v>
      </c>
      <c r="T16" s="4" t="str">
        <f>'[2]ЗАЯВКА-не смотрим!'!C21</f>
        <v>шт.</v>
      </c>
      <c r="U16" s="4" t="str">
        <f>'[2]ЗАЯВКА-не смотрим!'!C22</f>
        <v>упак.</v>
      </c>
      <c r="V16" s="4" t="str">
        <f>'[2]ЗАЯВКА-не смотрим!'!C23</f>
        <v>упак.</v>
      </c>
      <c r="W16" s="4" t="str">
        <f>'[2]ЗАЯВКА-не смотрим!'!C24</f>
        <v>шт.</v>
      </c>
      <c r="X16" s="4" t="str">
        <f>'[2]ЗАЯВКА-не смотрим!'!C25</f>
        <v>шт.</v>
      </c>
      <c r="Y16" s="4" t="str">
        <f>'[2]ЗАЯВКА-не смотрим!'!C26</f>
        <v>шт.</v>
      </c>
      <c r="Z16" s="4" t="str">
        <f>'[2]ЗАЯВКА-не смотрим!'!C27</f>
        <v>упак.</v>
      </c>
      <c r="AA16" s="4" t="str">
        <f>'[2]ЗАЯВКА-не смотрим!'!C28</f>
        <v>упак.</v>
      </c>
      <c r="AB16" s="4" t="str">
        <f>'[2]ЗАЯВКА-не смотрим!'!C29</f>
        <v>упак.</v>
      </c>
      <c r="AC16" s="4" t="str">
        <f>'[2]ЗАЯВКА-не смотрим!'!C30</f>
        <v>шт.</v>
      </c>
      <c r="AD16" s="4" t="str">
        <f>'[2]ЗАЯВКА-не смотрим!'!C31</f>
        <v>упак.</v>
      </c>
      <c r="AE16" s="4" t="str">
        <f>'[2]ЗАЯВКА-не смотрим!'!C32</f>
        <v>упак.</v>
      </c>
      <c r="AF16" s="4" t="str">
        <f>'[2]ЗАЯВКА-не смотрим!'!C33</f>
        <v>упак.</v>
      </c>
      <c r="AG16" s="4" t="str">
        <f>'[2]ЗАЯВКА-не смотрим!'!C34</f>
        <v>шт.</v>
      </c>
      <c r="AH16" s="4" t="str">
        <f>'[2]ЗАЯВКА-не смотрим!'!C35</f>
        <v>шт.</v>
      </c>
      <c r="AI16" s="4" t="str">
        <f>'[2]ЗАЯВКА-не смотрим!'!C36</f>
        <v>шт.</v>
      </c>
      <c r="AJ16" s="4" t="str">
        <f>'[2]ЗАЯВКА-не смотрим!'!C37</f>
        <v>шт.</v>
      </c>
      <c r="AK16" s="4" t="str">
        <f>'[2]ЗАЯВКА-не смотрим!'!C38</f>
        <v>упак.</v>
      </c>
      <c r="AL16" s="4" t="str">
        <f>'[2]ЗАЯВКА-не смотрим!'!C39</f>
        <v>шт.</v>
      </c>
      <c r="AM16" s="4" t="str">
        <f>'[2]ЗАЯВКА-не смотрим!'!C40</f>
        <v>упак.</v>
      </c>
      <c r="AN16" s="4" t="str">
        <f>'[2]ЗАЯВКА-не смотрим!'!C41</f>
        <v>упак.</v>
      </c>
      <c r="AO16" s="4" t="str">
        <f>'[2]ЗАЯВКА-не смотрим!'!C42</f>
        <v>шт.</v>
      </c>
      <c r="AP16" s="4" t="str">
        <f>'[2]ЗАЯВКА-не смотрим!'!C43</f>
        <v>шт.</v>
      </c>
      <c r="AQ16" s="4" t="str">
        <f>'[2]ЗАЯВКА-не смотрим!'!C44</f>
        <v>пач.</v>
      </c>
      <c r="AR16" s="4" t="str">
        <f>'[2]ЗАЯВКА-не смотрим!'!C45</f>
        <v>шт.</v>
      </c>
      <c r="AS16" s="4" t="str">
        <f>'[2]ЗАЯВКА-не смотрим!'!C46</f>
        <v>шт.</v>
      </c>
    </row>
    <row r="17" spans="1:45" ht="15.75" x14ac:dyDescent="0.25">
      <c r="A17" s="38">
        <v>1</v>
      </c>
      <c r="B17" s="42" t="s">
        <v>216</v>
      </c>
      <c r="C17" s="75">
        <v>2</v>
      </c>
      <c r="D17" s="76">
        <v>1</v>
      </c>
      <c r="E17" s="76">
        <v>1</v>
      </c>
      <c r="F17" s="76"/>
      <c r="G17" s="76">
        <v>5</v>
      </c>
      <c r="H17" s="76"/>
      <c r="I17" s="76"/>
      <c r="J17" s="76"/>
      <c r="K17" s="76"/>
      <c r="L17" s="76"/>
      <c r="M17" s="76"/>
      <c r="N17" s="76"/>
      <c r="O17" s="76">
        <v>1</v>
      </c>
      <c r="P17" s="76"/>
      <c r="Q17" s="76"/>
      <c r="R17" s="76"/>
      <c r="S17" s="76">
        <v>1</v>
      </c>
      <c r="T17" s="76"/>
      <c r="U17" s="76"/>
      <c r="V17" s="49"/>
      <c r="W17" s="49"/>
      <c r="X17" s="49"/>
      <c r="Y17" s="49">
        <v>1</v>
      </c>
      <c r="Z17" s="49"/>
      <c r="AA17" s="49"/>
      <c r="AB17" s="49"/>
      <c r="AC17" s="49">
        <v>1</v>
      </c>
      <c r="AD17" s="49"/>
      <c r="AE17" s="49"/>
      <c r="AF17" s="49">
        <v>1</v>
      </c>
      <c r="AG17" s="49"/>
      <c r="AH17" s="49">
        <v>1</v>
      </c>
      <c r="AI17" s="49">
        <v>1</v>
      </c>
      <c r="AJ17" s="49">
        <v>1</v>
      </c>
      <c r="AK17" s="49">
        <v>1</v>
      </c>
      <c r="AL17" s="49">
        <v>1</v>
      </c>
      <c r="AM17" s="49">
        <v>1</v>
      </c>
      <c r="AN17" s="49">
        <v>1</v>
      </c>
      <c r="AO17" s="49"/>
      <c r="AP17" s="49"/>
      <c r="AQ17" s="49">
        <v>20</v>
      </c>
      <c r="AR17" s="49"/>
      <c r="AS17" s="49"/>
    </row>
    <row r="18" spans="1:45" ht="15.75" x14ac:dyDescent="0.25">
      <c r="A18" s="38">
        <v>2</v>
      </c>
      <c r="B18" s="42" t="s">
        <v>217</v>
      </c>
      <c r="C18" s="75">
        <v>2</v>
      </c>
      <c r="D18" s="76">
        <v>1</v>
      </c>
      <c r="E18" s="76">
        <v>1</v>
      </c>
      <c r="F18" s="76"/>
      <c r="G18" s="76">
        <v>5</v>
      </c>
      <c r="H18" s="76"/>
      <c r="I18" s="76"/>
      <c r="J18" s="76"/>
      <c r="K18" s="76"/>
      <c r="L18" s="76"/>
      <c r="M18" s="76"/>
      <c r="N18" s="76"/>
      <c r="O18" s="76">
        <v>1</v>
      </c>
      <c r="P18" s="76"/>
      <c r="Q18" s="76"/>
      <c r="R18" s="76"/>
      <c r="S18" s="76">
        <v>1</v>
      </c>
      <c r="T18" s="76"/>
      <c r="U18" s="76"/>
      <c r="V18" s="49"/>
      <c r="W18" s="49"/>
      <c r="X18" s="49"/>
      <c r="Y18" s="49">
        <v>1</v>
      </c>
      <c r="Z18" s="49"/>
      <c r="AA18" s="49"/>
      <c r="AB18" s="49"/>
      <c r="AC18" s="49">
        <v>1</v>
      </c>
      <c r="AD18" s="49"/>
      <c r="AE18" s="49"/>
      <c r="AF18" s="49">
        <v>1</v>
      </c>
      <c r="AG18" s="49"/>
      <c r="AH18" s="49">
        <v>1</v>
      </c>
      <c r="AI18" s="49">
        <v>1</v>
      </c>
      <c r="AJ18" s="49">
        <v>1</v>
      </c>
      <c r="AK18" s="49">
        <v>1</v>
      </c>
      <c r="AL18" s="49">
        <v>1</v>
      </c>
      <c r="AM18" s="49">
        <v>1</v>
      </c>
      <c r="AN18" s="49">
        <v>1</v>
      </c>
      <c r="AO18" s="49"/>
      <c r="AP18" s="49"/>
      <c r="AQ18" s="49"/>
      <c r="AR18" s="49"/>
      <c r="AS18" s="49"/>
    </row>
    <row r="19" spans="1:45" ht="15.75" x14ac:dyDescent="0.25">
      <c r="A19" s="38">
        <v>3</v>
      </c>
      <c r="B19" s="42" t="s">
        <v>218</v>
      </c>
      <c r="C19" s="75">
        <v>2</v>
      </c>
      <c r="D19" s="76">
        <v>1</v>
      </c>
      <c r="E19" s="76">
        <v>1</v>
      </c>
      <c r="F19" s="76"/>
      <c r="G19" s="76">
        <v>5</v>
      </c>
      <c r="H19" s="76"/>
      <c r="I19" s="76"/>
      <c r="J19" s="76"/>
      <c r="K19" s="76"/>
      <c r="L19" s="76"/>
      <c r="M19" s="76"/>
      <c r="N19" s="76"/>
      <c r="O19" s="76">
        <v>1</v>
      </c>
      <c r="P19" s="76"/>
      <c r="Q19" s="76"/>
      <c r="R19" s="76"/>
      <c r="S19" s="76">
        <v>1</v>
      </c>
      <c r="T19" s="76"/>
      <c r="U19" s="76"/>
      <c r="V19" s="49"/>
      <c r="W19" s="49"/>
      <c r="X19" s="49"/>
      <c r="Y19" s="49">
        <v>1</v>
      </c>
      <c r="Z19" s="49"/>
      <c r="AA19" s="49"/>
      <c r="AB19" s="49"/>
      <c r="AC19" s="49">
        <v>1</v>
      </c>
      <c r="AD19" s="49"/>
      <c r="AE19" s="49"/>
      <c r="AF19" s="49">
        <v>1</v>
      </c>
      <c r="AG19" s="49"/>
      <c r="AH19" s="49">
        <v>1</v>
      </c>
      <c r="AI19" s="49">
        <v>1</v>
      </c>
      <c r="AJ19" s="49">
        <v>1</v>
      </c>
      <c r="AK19" s="49">
        <v>1</v>
      </c>
      <c r="AL19" s="49">
        <v>1</v>
      </c>
      <c r="AM19" s="49">
        <v>1</v>
      </c>
      <c r="AN19" s="49">
        <v>1</v>
      </c>
      <c r="AO19" s="49"/>
      <c r="AP19" s="49"/>
      <c r="AQ19" s="49"/>
      <c r="AR19" s="49"/>
      <c r="AS19" s="49"/>
    </row>
    <row r="20" spans="1:45" ht="15.75" x14ac:dyDescent="0.25">
      <c r="A20" s="38">
        <v>4</v>
      </c>
      <c r="B20" s="42" t="s">
        <v>388</v>
      </c>
      <c r="C20" s="75">
        <v>2</v>
      </c>
      <c r="D20" s="76">
        <v>1</v>
      </c>
      <c r="E20" s="76">
        <v>1</v>
      </c>
      <c r="F20" s="76"/>
      <c r="G20" s="76">
        <v>5</v>
      </c>
      <c r="H20" s="76"/>
      <c r="I20" s="76"/>
      <c r="J20" s="76"/>
      <c r="K20" s="76"/>
      <c r="L20" s="76"/>
      <c r="M20" s="76"/>
      <c r="N20" s="76"/>
      <c r="O20" s="76">
        <v>1</v>
      </c>
      <c r="P20" s="76"/>
      <c r="Q20" s="76"/>
      <c r="R20" s="76"/>
      <c r="S20" s="76">
        <v>1</v>
      </c>
      <c r="T20" s="76"/>
      <c r="U20" s="76"/>
      <c r="V20" s="49"/>
      <c r="W20" s="49"/>
      <c r="X20" s="49"/>
      <c r="Y20" s="49">
        <v>1</v>
      </c>
      <c r="Z20" s="49"/>
      <c r="AA20" s="49"/>
      <c r="AB20" s="49"/>
      <c r="AC20" s="49">
        <v>1</v>
      </c>
      <c r="AD20" s="49"/>
      <c r="AE20" s="49"/>
      <c r="AF20" s="49">
        <v>1</v>
      </c>
      <c r="AG20" s="49"/>
      <c r="AH20" s="49">
        <v>1</v>
      </c>
      <c r="AI20" s="49">
        <v>1</v>
      </c>
      <c r="AJ20" s="49">
        <v>1</v>
      </c>
      <c r="AK20" s="49">
        <v>1</v>
      </c>
      <c r="AL20" s="49">
        <v>1</v>
      </c>
      <c r="AM20" s="49">
        <v>1</v>
      </c>
      <c r="AN20" s="49">
        <v>1</v>
      </c>
      <c r="AO20" s="49"/>
      <c r="AP20" s="49"/>
      <c r="AQ20" s="49"/>
      <c r="AR20" s="49"/>
      <c r="AS20" s="49"/>
    </row>
    <row r="21" spans="1:45" ht="15.75" x14ac:dyDescent="0.25">
      <c r="A21" s="38">
        <v>5</v>
      </c>
      <c r="B21" s="42" t="s">
        <v>220</v>
      </c>
      <c r="C21" s="75">
        <v>2</v>
      </c>
      <c r="D21" s="76">
        <v>1</v>
      </c>
      <c r="E21" s="76">
        <v>1</v>
      </c>
      <c r="F21" s="76"/>
      <c r="G21" s="76">
        <v>5</v>
      </c>
      <c r="H21" s="76"/>
      <c r="I21" s="76"/>
      <c r="J21" s="76"/>
      <c r="K21" s="76"/>
      <c r="L21" s="76"/>
      <c r="M21" s="76"/>
      <c r="N21" s="76"/>
      <c r="O21" s="76">
        <v>1</v>
      </c>
      <c r="P21" s="76"/>
      <c r="Q21" s="76"/>
      <c r="R21" s="76"/>
      <c r="S21" s="76">
        <v>1</v>
      </c>
      <c r="T21" s="76"/>
      <c r="U21" s="76"/>
      <c r="V21" s="49"/>
      <c r="W21" s="49"/>
      <c r="X21" s="49"/>
      <c r="Y21" s="49">
        <v>1</v>
      </c>
      <c r="Z21" s="49"/>
      <c r="AA21" s="49"/>
      <c r="AB21" s="49"/>
      <c r="AC21" s="49">
        <v>1</v>
      </c>
      <c r="AD21" s="49"/>
      <c r="AE21" s="49"/>
      <c r="AF21" s="49">
        <v>1</v>
      </c>
      <c r="AG21" s="49"/>
      <c r="AH21" s="49">
        <v>1</v>
      </c>
      <c r="AI21" s="49">
        <v>1</v>
      </c>
      <c r="AJ21" s="49">
        <v>1</v>
      </c>
      <c r="AK21" s="49">
        <v>1</v>
      </c>
      <c r="AL21" s="49">
        <v>1</v>
      </c>
      <c r="AM21" s="49">
        <v>1</v>
      </c>
      <c r="AN21" s="49">
        <v>1</v>
      </c>
      <c r="AO21" s="49"/>
      <c r="AP21" s="49"/>
      <c r="AQ21" s="49">
        <v>20</v>
      </c>
      <c r="AR21" s="49"/>
      <c r="AS21" s="49"/>
    </row>
    <row r="22" spans="1:45" ht="15.75" x14ac:dyDescent="0.25">
      <c r="A22" s="38">
        <v>6</v>
      </c>
      <c r="B22" s="42" t="s">
        <v>221</v>
      </c>
      <c r="C22" s="75">
        <v>2</v>
      </c>
      <c r="D22" s="76">
        <v>1</v>
      </c>
      <c r="E22" s="76">
        <v>1</v>
      </c>
      <c r="F22" s="76"/>
      <c r="G22" s="76">
        <v>5</v>
      </c>
      <c r="H22" s="76"/>
      <c r="I22" s="76"/>
      <c r="J22" s="76"/>
      <c r="K22" s="76"/>
      <c r="L22" s="76"/>
      <c r="M22" s="76"/>
      <c r="N22" s="76"/>
      <c r="O22" s="76">
        <v>1</v>
      </c>
      <c r="P22" s="76"/>
      <c r="Q22" s="76"/>
      <c r="R22" s="76"/>
      <c r="S22" s="76">
        <v>1</v>
      </c>
      <c r="T22" s="76"/>
      <c r="U22" s="76"/>
      <c r="V22" s="49"/>
      <c r="W22" s="49"/>
      <c r="X22" s="49"/>
      <c r="Y22" s="49">
        <v>1</v>
      </c>
      <c r="Z22" s="49"/>
      <c r="AA22" s="49"/>
      <c r="AB22" s="49"/>
      <c r="AC22" s="49">
        <v>1</v>
      </c>
      <c r="AD22" s="49"/>
      <c r="AE22" s="49"/>
      <c r="AF22" s="49">
        <v>1</v>
      </c>
      <c r="AG22" s="49"/>
      <c r="AH22" s="49">
        <v>1</v>
      </c>
      <c r="AI22" s="49">
        <v>1</v>
      </c>
      <c r="AJ22" s="49">
        <v>1</v>
      </c>
      <c r="AK22" s="49">
        <v>1</v>
      </c>
      <c r="AL22" s="49">
        <v>1</v>
      </c>
      <c r="AM22" s="49">
        <v>1</v>
      </c>
      <c r="AN22" s="49">
        <v>1</v>
      </c>
      <c r="AO22" s="49"/>
      <c r="AP22" s="49"/>
      <c r="AQ22" s="49"/>
      <c r="AR22" s="49"/>
      <c r="AS22" s="49"/>
    </row>
    <row r="23" spans="1:45" ht="15.75" x14ac:dyDescent="0.25">
      <c r="A23" s="38">
        <v>7</v>
      </c>
      <c r="B23" s="42" t="s">
        <v>222</v>
      </c>
      <c r="C23" s="75">
        <v>2</v>
      </c>
      <c r="D23" s="76">
        <v>1</v>
      </c>
      <c r="E23" s="76">
        <v>1</v>
      </c>
      <c r="F23" s="76"/>
      <c r="G23" s="76">
        <v>5</v>
      </c>
      <c r="H23" s="76"/>
      <c r="I23" s="76"/>
      <c r="J23" s="76"/>
      <c r="K23" s="76"/>
      <c r="L23" s="76"/>
      <c r="M23" s="76"/>
      <c r="N23" s="76"/>
      <c r="O23" s="76">
        <v>1</v>
      </c>
      <c r="P23" s="76"/>
      <c r="Q23" s="76"/>
      <c r="R23" s="76"/>
      <c r="S23" s="76">
        <v>1</v>
      </c>
      <c r="T23" s="76"/>
      <c r="U23" s="76"/>
      <c r="V23" s="49"/>
      <c r="W23" s="49"/>
      <c r="X23" s="49"/>
      <c r="Y23" s="49">
        <v>1</v>
      </c>
      <c r="Z23" s="49"/>
      <c r="AA23" s="49"/>
      <c r="AB23" s="49"/>
      <c r="AC23" s="49">
        <v>1</v>
      </c>
      <c r="AD23" s="49"/>
      <c r="AE23" s="49"/>
      <c r="AF23" s="49">
        <v>1</v>
      </c>
      <c r="AG23" s="49"/>
      <c r="AH23" s="49">
        <v>1</v>
      </c>
      <c r="AI23" s="49">
        <v>1</v>
      </c>
      <c r="AJ23" s="49">
        <v>1</v>
      </c>
      <c r="AK23" s="49">
        <v>1</v>
      </c>
      <c r="AL23" s="49">
        <v>1</v>
      </c>
      <c r="AM23" s="49">
        <v>1</v>
      </c>
      <c r="AN23" s="49">
        <v>1</v>
      </c>
      <c r="AO23" s="49"/>
      <c r="AP23" s="49"/>
      <c r="AQ23" s="49"/>
      <c r="AR23" s="49"/>
      <c r="AS23" s="49"/>
    </row>
    <row r="24" spans="1:45" ht="15.75" x14ac:dyDescent="0.25">
      <c r="A24" s="38">
        <v>8</v>
      </c>
      <c r="B24" s="42" t="s">
        <v>223</v>
      </c>
      <c r="C24" s="75">
        <v>2</v>
      </c>
      <c r="D24" s="76">
        <v>1</v>
      </c>
      <c r="E24" s="76">
        <v>1</v>
      </c>
      <c r="F24" s="76"/>
      <c r="G24" s="76">
        <v>5</v>
      </c>
      <c r="H24" s="76"/>
      <c r="I24" s="76"/>
      <c r="J24" s="76"/>
      <c r="K24" s="76"/>
      <c r="L24" s="76"/>
      <c r="M24" s="76"/>
      <c r="N24" s="76"/>
      <c r="O24" s="76">
        <v>1</v>
      </c>
      <c r="P24" s="76"/>
      <c r="Q24" s="76"/>
      <c r="R24" s="76"/>
      <c r="S24" s="76">
        <v>1</v>
      </c>
      <c r="T24" s="76"/>
      <c r="U24" s="76"/>
      <c r="V24" s="49"/>
      <c r="W24" s="49"/>
      <c r="X24" s="49"/>
      <c r="Y24" s="49">
        <v>1</v>
      </c>
      <c r="Z24" s="49"/>
      <c r="AA24" s="49"/>
      <c r="AB24" s="49"/>
      <c r="AC24" s="49">
        <v>1</v>
      </c>
      <c r="AD24" s="49"/>
      <c r="AE24" s="49"/>
      <c r="AF24" s="49">
        <v>1</v>
      </c>
      <c r="AG24" s="49"/>
      <c r="AH24" s="49">
        <v>1</v>
      </c>
      <c r="AI24" s="49">
        <v>1</v>
      </c>
      <c r="AJ24" s="49">
        <v>1</v>
      </c>
      <c r="AK24" s="49">
        <v>1</v>
      </c>
      <c r="AL24" s="49">
        <v>1</v>
      </c>
      <c r="AM24" s="49">
        <v>1</v>
      </c>
      <c r="AN24" s="49">
        <v>1</v>
      </c>
      <c r="AO24" s="49"/>
      <c r="AP24" s="49"/>
      <c r="AQ24" s="49"/>
      <c r="AR24" s="49"/>
      <c r="AS24" s="49"/>
    </row>
    <row r="25" spans="1:45" ht="15.75" x14ac:dyDescent="0.25">
      <c r="A25" s="38">
        <v>9</v>
      </c>
      <c r="B25" s="42" t="s">
        <v>224</v>
      </c>
      <c r="C25" s="75">
        <v>2</v>
      </c>
      <c r="D25" s="76">
        <v>1</v>
      </c>
      <c r="E25" s="76">
        <v>1</v>
      </c>
      <c r="F25" s="76"/>
      <c r="G25" s="76">
        <v>5</v>
      </c>
      <c r="H25" s="76"/>
      <c r="I25" s="76"/>
      <c r="J25" s="76"/>
      <c r="K25" s="76"/>
      <c r="L25" s="76"/>
      <c r="M25" s="76"/>
      <c r="N25" s="76"/>
      <c r="O25" s="76">
        <v>1</v>
      </c>
      <c r="P25" s="76"/>
      <c r="Q25" s="76"/>
      <c r="R25" s="76"/>
      <c r="S25" s="76">
        <v>1</v>
      </c>
      <c r="T25" s="76"/>
      <c r="U25" s="76"/>
      <c r="V25" s="49"/>
      <c r="W25" s="49"/>
      <c r="X25" s="49"/>
      <c r="Y25" s="49">
        <v>1</v>
      </c>
      <c r="Z25" s="49"/>
      <c r="AA25" s="49"/>
      <c r="AB25" s="49"/>
      <c r="AC25" s="49">
        <v>1</v>
      </c>
      <c r="AD25" s="49"/>
      <c r="AE25" s="49"/>
      <c r="AF25" s="49">
        <v>1</v>
      </c>
      <c r="AG25" s="49"/>
      <c r="AH25" s="49">
        <v>1</v>
      </c>
      <c r="AI25" s="49">
        <v>1</v>
      </c>
      <c r="AJ25" s="49">
        <v>1</v>
      </c>
      <c r="AK25" s="49">
        <v>1</v>
      </c>
      <c r="AL25" s="49">
        <v>1</v>
      </c>
      <c r="AM25" s="49">
        <v>1</v>
      </c>
      <c r="AN25" s="49">
        <v>1</v>
      </c>
      <c r="AO25" s="49"/>
      <c r="AP25" s="49"/>
      <c r="AQ25" s="49"/>
      <c r="AR25" s="49"/>
      <c r="AS25" s="49"/>
    </row>
    <row r="26" spans="1:45" ht="15.75" x14ac:dyDescent="0.25">
      <c r="A26" s="38">
        <v>10</v>
      </c>
      <c r="B26" s="42" t="s">
        <v>225</v>
      </c>
      <c r="C26" s="75">
        <v>2</v>
      </c>
      <c r="D26" s="76">
        <v>1</v>
      </c>
      <c r="E26" s="76">
        <v>1</v>
      </c>
      <c r="F26" s="76"/>
      <c r="G26" s="76">
        <v>5</v>
      </c>
      <c r="H26" s="76"/>
      <c r="I26" s="76"/>
      <c r="J26" s="76"/>
      <c r="K26" s="76"/>
      <c r="L26" s="76"/>
      <c r="M26" s="76"/>
      <c r="N26" s="76"/>
      <c r="O26" s="76">
        <v>1</v>
      </c>
      <c r="P26" s="76"/>
      <c r="Q26" s="76"/>
      <c r="R26" s="76"/>
      <c r="S26" s="76">
        <v>1</v>
      </c>
      <c r="T26" s="76"/>
      <c r="U26" s="76"/>
      <c r="V26" s="49"/>
      <c r="W26" s="49"/>
      <c r="X26" s="49"/>
      <c r="Y26" s="49">
        <v>1</v>
      </c>
      <c r="Z26" s="49"/>
      <c r="AA26" s="49"/>
      <c r="AB26" s="49"/>
      <c r="AC26" s="49">
        <v>1</v>
      </c>
      <c r="AD26" s="49"/>
      <c r="AE26" s="49"/>
      <c r="AF26" s="49">
        <v>1</v>
      </c>
      <c r="AG26" s="49"/>
      <c r="AH26" s="49">
        <v>1</v>
      </c>
      <c r="AI26" s="49">
        <v>1</v>
      </c>
      <c r="AJ26" s="49">
        <v>1</v>
      </c>
      <c r="AK26" s="49">
        <v>1</v>
      </c>
      <c r="AL26" s="49">
        <v>1</v>
      </c>
      <c r="AM26" s="49">
        <v>1</v>
      </c>
      <c r="AN26" s="49">
        <v>1</v>
      </c>
      <c r="AO26" s="49"/>
      <c r="AP26" s="49"/>
      <c r="AQ26" s="49">
        <v>20</v>
      </c>
      <c r="AR26" s="49"/>
      <c r="AS26" s="49"/>
    </row>
    <row r="27" spans="1:45" ht="15.75" x14ac:dyDescent="0.25">
      <c r="A27" s="38">
        <v>11</v>
      </c>
      <c r="B27" s="42" t="s">
        <v>226</v>
      </c>
      <c r="C27" s="75">
        <v>2</v>
      </c>
      <c r="D27" s="76">
        <v>1</v>
      </c>
      <c r="E27" s="76">
        <v>1</v>
      </c>
      <c r="F27" s="76"/>
      <c r="G27" s="76">
        <v>5</v>
      </c>
      <c r="H27" s="76"/>
      <c r="I27" s="76"/>
      <c r="J27" s="76"/>
      <c r="K27" s="76"/>
      <c r="L27" s="76"/>
      <c r="M27" s="76"/>
      <c r="N27" s="76"/>
      <c r="O27" s="76">
        <v>1</v>
      </c>
      <c r="P27" s="76"/>
      <c r="Q27" s="76"/>
      <c r="R27" s="76"/>
      <c r="S27" s="76">
        <v>1</v>
      </c>
      <c r="T27" s="76"/>
      <c r="U27" s="76"/>
      <c r="V27" s="49"/>
      <c r="W27" s="49"/>
      <c r="X27" s="49"/>
      <c r="Y27" s="49">
        <v>1</v>
      </c>
      <c r="Z27" s="49"/>
      <c r="AA27" s="49"/>
      <c r="AB27" s="49"/>
      <c r="AC27" s="49">
        <v>1</v>
      </c>
      <c r="AD27" s="49"/>
      <c r="AE27" s="49"/>
      <c r="AF27" s="49">
        <v>1</v>
      </c>
      <c r="AG27" s="49"/>
      <c r="AH27" s="49">
        <v>1</v>
      </c>
      <c r="AI27" s="49">
        <v>1</v>
      </c>
      <c r="AJ27" s="49">
        <v>1</v>
      </c>
      <c r="AK27" s="49">
        <v>1</v>
      </c>
      <c r="AL27" s="49">
        <v>1</v>
      </c>
      <c r="AM27" s="49">
        <v>1</v>
      </c>
      <c r="AN27" s="49">
        <v>1</v>
      </c>
      <c r="AO27" s="49"/>
      <c r="AP27" s="49"/>
      <c r="AQ27" s="49">
        <v>20</v>
      </c>
      <c r="AR27" s="49"/>
      <c r="AS27" s="49"/>
    </row>
    <row r="28" spans="1:45" ht="15.75" x14ac:dyDescent="0.25">
      <c r="A28" s="38">
        <v>12</v>
      </c>
      <c r="B28" s="42" t="s">
        <v>227</v>
      </c>
      <c r="C28" s="75">
        <v>2</v>
      </c>
      <c r="D28" s="76">
        <v>1</v>
      </c>
      <c r="E28" s="76">
        <v>1</v>
      </c>
      <c r="F28" s="76"/>
      <c r="G28" s="76">
        <v>5</v>
      </c>
      <c r="H28" s="76"/>
      <c r="I28" s="76"/>
      <c r="J28" s="76"/>
      <c r="K28" s="76"/>
      <c r="L28" s="76"/>
      <c r="M28" s="76"/>
      <c r="N28" s="76"/>
      <c r="O28" s="76">
        <v>1</v>
      </c>
      <c r="P28" s="76"/>
      <c r="Q28" s="76"/>
      <c r="R28" s="76"/>
      <c r="S28" s="76">
        <v>1</v>
      </c>
      <c r="T28" s="76"/>
      <c r="U28" s="76"/>
      <c r="V28" s="49"/>
      <c r="W28" s="49"/>
      <c r="X28" s="49"/>
      <c r="Y28" s="49">
        <v>1</v>
      </c>
      <c r="Z28" s="49"/>
      <c r="AA28" s="49"/>
      <c r="AB28" s="49"/>
      <c r="AC28" s="49">
        <v>1</v>
      </c>
      <c r="AD28" s="49"/>
      <c r="AE28" s="49"/>
      <c r="AF28" s="49">
        <v>1</v>
      </c>
      <c r="AG28" s="49"/>
      <c r="AH28" s="49">
        <v>1</v>
      </c>
      <c r="AI28" s="49">
        <v>1</v>
      </c>
      <c r="AJ28" s="49">
        <v>1</v>
      </c>
      <c r="AK28" s="49">
        <v>1</v>
      </c>
      <c r="AL28" s="49">
        <v>1</v>
      </c>
      <c r="AM28" s="49">
        <v>1</v>
      </c>
      <c r="AN28" s="49">
        <v>1</v>
      </c>
      <c r="AO28" s="49"/>
      <c r="AP28" s="49"/>
      <c r="AQ28" s="49"/>
      <c r="AR28" s="49"/>
      <c r="AS28" s="49"/>
    </row>
    <row r="29" spans="1:45" ht="15.75" x14ac:dyDescent="0.25">
      <c r="A29" s="38">
        <v>13</v>
      </c>
      <c r="B29" s="42" t="s">
        <v>229</v>
      </c>
      <c r="C29" s="75">
        <v>2</v>
      </c>
      <c r="D29" s="76">
        <v>1</v>
      </c>
      <c r="E29" s="76">
        <v>1</v>
      </c>
      <c r="F29" s="76"/>
      <c r="G29" s="76">
        <v>5</v>
      </c>
      <c r="H29" s="76"/>
      <c r="I29" s="76"/>
      <c r="J29" s="76"/>
      <c r="K29" s="76"/>
      <c r="L29" s="76"/>
      <c r="M29" s="76"/>
      <c r="N29" s="76"/>
      <c r="O29" s="76">
        <v>1</v>
      </c>
      <c r="P29" s="76"/>
      <c r="Q29" s="76"/>
      <c r="R29" s="76"/>
      <c r="S29" s="76">
        <v>1</v>
      </c>
      <c r="T29" s="76"/>
      <c r="U29" s="76"/>
      <c r="V29" s="49"/>
      <c r="W29" s="49"/>
      <c r="X29" s="49"/>
      <c r="Y29" s="49">
        <v>1</v>
      </c>
      <c r="Z29" s="49"/>
      <c r="AA29" s="49"/>
      <c r="AB29" s="49"/>
      <c r="AC29" s="49">
        <v>1</v>
      </c>
      <c r="AD29" s="49"/>
      <c r="AE29" s="49"/>
      <c r="AF29" s="49">
        <v>1</v>
      </c>
      <c r="AG29" s="49"/>
      <c r="AH29" s="49">
        <v>1</v>
      </c>
      <c r="AI29" s="49">
        <v>1</v>
      </c>
      <c r="AJ29" s="49">
        <v>1</v>
      </c>
      <c r="AK29" s="49">
        <v>1</v>
      </c>
      <c r="AL29" s="49">
        <v>1</v>
      </c>
      <c r="AM29" s="49">
        <v>1</v>
      </c>
      <c r="AN29" s="49">
        <v>1</v>
      </c>
      <c r="AO29" s="49"/>
      <c r="AP29" s="49"/>
      <c r="AQ29" s="49"/>
      <c r="AR29" s="49"/>
      <c r="AS29" s="49"/>
    </row>
    <row r="30" spans="1:45" ht="15.75" x14ac:dyDescent="0.25">
      <c r="A30" s="38">
        <v>14</v>
      </c>
      <c r="B30" s="42" t="s">
        <v>230</v>
      </c>
      <c r="C30" s="75">
        <v>2</v>
      </c>
      <c r="D30" s="76">
        <v>1</v>
      </c>
      <c r="E30" s="76">
        <v>1</v>
      </c>
      <c r="F30" s="76"/>
      <c r="G30" s="76">
        <v>5</v>
      </c>
      <c r="H30" s="76"/>
      <c r="I30" s="76"/>
      <c r="J30" s="76"/>
      <c r="K30" s="76"/>
      <c r="L30" s="76"/>
      <c r="M30" s="76"/>
      <c r="N30" s="76"/>
      <c r="O30" s="76">
        <v>1</v>
      </c>
      <c r="P30" s="76"/>
      <c r="Q30" s="76"/>
      <c r="R30" s="76"/>
      <c r="S30" s="76">
        <v>1</v>
      </c>
      <c r="T30" s="76"/>
      <c r="U30" s="76"/>
      <c r="V30" s="49"/>
      <c r="W30" s="49"/>
      <c r="X30" s="49"/>
      <c r="Y30" s="49">
        <v>1</v>
      </c>
      <c r="Z30" s="49"/>
      <c r="AA30" s="49"/>
      <c r="AB30" s="49"/>
      <c r="AC30" s="49">
        <v>1</v>
      </c>
      <c r="AD30" s="49"/>
      <c r="AE30" s="49"/>
      <c r="AF30" s="49">
        <v>1</v>
      </c>
      <c r="AG30" s="49"/>
      <c r="AH30" s="49">
        <v>1</v>
      </c>
      <c r="AI30" s="49">
        <v>1</v>
      </c>
      <c r="AJ30" s="49">
        <v>1</v>
      </c>
      <c r="AK30" s="49">
        <v>1</v>
      </c>
      <c r="AL30" s="49">
        <v>1</v>
      </c>
      <c r="AM30" s="49">
        <v>1</v>
      </c>
      <c r="AN30" s="49">
        <v>1</v>
      </c>
      <c r="AO30" s="49"/>
      <c r="AP30" s="49"/>
      <c r="AQ30" s="49"/>
      <c r="AR30" s="49"/>
      <c r="AS30" s="49"/>
    </row>
    <row r="31" spans="1:45" ht="31.5" x14ac:dyDescent="0.25">
      <c r="A31" s="38">
        <v>15</v>
      </c>
      <c r="B31" s="42" t="s">
        <v>231</v>
      </c>
      <c r="C31" s="75">
        <v>2</v>
      </c>
      <c r="D31" s="76">
        <v>1</v>
      </c>
      <c r="E31" s="76">
        <v>1</v>
      </c>
      <c r="F31" s="76"/>
      <c r="G31" s="76">
        <v>5</v>
      </c>
      <c r="H31" s="76"/>
      <c r="I31" s="76"/>
      <c r="J31" s="76"/>
      <c r="K31" s="76"/>
      <c r="L31" s="76"/>
      <c r="M31" s="76"/>
      <c r="N31" s="76"/>
      <c r="O31" s="76">
        <v>1</v>
      </c>
      <c r="P31" s="76"/>
      <c r="Q31" s="76"/>
      <c r="R31" s="76"/>
      <c r="S31" s="76">
        <v>1</v>
      </c>
      <c r="T31" s="76"/>
      <c r="U31" s="76"/>
      <c r="V31" s="49"/>
      <c r="W31" s="49"/>
      <c r="X31" s="49"/>
      <c r="Y31" s="49">
        <v>1</v>
      </c>
      <c r="Z31" s="49"/>
      <c r="AA31" s="49"/>
      <c r="AB31" s="49"/>
      <c r="AC31" s="49">
        <v>1</v>
      </c>
      <c r="AD31" s="49"/>
      <c r="AE31" s="49"/>
      <c r="AF31" s="49">
        <v>1</v>
      </c>
      <c r="AG31" s="49"/>
      <c r="AH31" s="49">
        <v>1</v>
      </c>
      <c r="AI31" s="49">
        <v>1</v>
      </c>
      <c r="AJ31" s="49">
        <v>1</v>
      </c>
      <c r="AK31" s="49">
        <v>1</v>
      </c>
      <c r="AL31" s="49">
        <v>1</v>
      </c>
      <c r="AM31" s="49">
        <v>1</v>
      </c>
      <c r="AN31" s="49">
        <v>1</v>
      </c>
      <c r="AO31" s="49"/>
      <c r="AP31" s="49"/>
      <c r="AQ31" s="49">
        <v>20</v>
      </c>
      <c r="AR31" s="49"/>
      <c r="AS31" s="49"/>
    </row>
    <row r="32" spans="1:45" ht="15.75" x14ac:dyDescent="0.25">
      <c r="A32" s="38">
        <v>16</v>
      </c>
      <c r="B32" s="42" t="s">
        <v>232</v>
      </c>
      <c r="C32" s="75">
        <v>2</v>
      </c>
      <c r="D32" s="76">
        <v>1</v>
      </c>
      <c r="E32" s="76">
        <v>1</v>
      </c>
      <c r="F32" s="76"/>
      <c r="G32" s="76">
        <v>5</v>
      </c>
      <c r="H32" s="76"/>
      <c r="I32" s="76"/>
      <c r="J32" s="76"/>
      <c r="K32" s="76"/>
      <c r="L32" s="76"/>
      <c r="M32" s="76"/>
      <c r="N32" s="76"/>
      <c r="O32" s="76">
        <v>1</v>
      </c>
      <c r="P32" s="76"/>
      <c r="Q32" s="76"/>
      <c r="R32" s="76"/>
      <c r="S32" s="76">
        <v>1</v>
      </c>
      <c r="T32" s="76"/>
      <c r="U32" s="76"/>
      <c r="V32" s="49"/>
      <c r="W32" s="49"/>
      <c r="X32" s="49"/>
      <c r="Y32" s="49">
        <v>1</v>
      </c>
      <c r="Z32" s="49"/>
      <c r="AA32" s="49"/>
      <c r="AB32" s="49"/>
      <c r="AC32" s="49">
        <v>1</v>
      </c>
      <c r="AD32" s="49"/>
      <c r="AE32" s="49"/>
      <c r="AF32" s="49">
        <v>1</v>
      </c>
      <c r="AG32" s="49"/>
      <c r="AH32" s="49">
        <v>1</v>
      </c>
      <c r="AI32" s="49">
        <v>1</v>
      </c>
      <c r="AJ32" s="49">
        <v>1</v>
      </c>
      <c r="AK32" s="49">
        <v>1</v>
      </c>
      <c r="AL32" s="49">
        <v>1</v>
      </c>
      <c r="AM32" s="49">
        <v>1</v>
      </c>
      <c r="AN32" s="49">
        <v>1</v>
      </c>
      <c r="AO32" s="49"/>
      <c r="AP32" s="49"/>
      <c r="AQ32" s="49">
        <v>20</v>
      </c>
      <c r="AR32" s="49"/>
      <c r="AS32" s="49"/>
    </row>
    <row r="33" spans="1:45" ht="15.75" x14ac:dyDescent="0.25">
      <c r="A33" s="38">
        <v>17</v>
      </c>
      <c r="B33" s="42" t="s">
        <v>233</v>
      </c>
      <c r="C33" s="75">
        <v>2</v>
      </c>
      <c r="D33" s="76">
        <v>1</v>
      </c>
      <c r="E33" s="76">
        <v>1</v>
      </c>
      <c r="F33" s="76"/>
      <c r="G33" s="76">
        <v>5</v>
      </c>
      <c r="H33" s="76"/>
      <c r="I33" s="76"/>
      <c r="J33" s="76"/>
      <c r="K33" s="76"/>
      <c r="L33" s="76"/>
      <c r="M33" s="76"/>
      <c r="N33" s="76"/>
      <c r="O33" s="76">
        <v>1</v>
      </c>
      <c r="P33" s="76"/>
      <c r="Q33" s="76"/>
      <c r="R33" s="76"/>
      <c r="S33" s="76">
        <v>1</v>
      </c>
      <c r="T33" s="76"/>
      <c r="U33" s="76"/>
      <c r="V33" s="49"/>
      <c r="W33" s="49"/>
      <c r="X33" s="49"/>
      <c r="Y33" s="49">
        <v>1</v>
      </c>
      <c r="Z33" s="49"/>
      <c r="AA33" s="49"/>
      <c r="AB33" s="49"/>
      <c r="AC33" s="49">
        <v>1</v>
      </c>
      <c r="AD33" s="49"/>
      <c r="AE33" s="49"/>
      <c r="AF33" s="49">
        <v>1</v>
      </c>
      <c r="AG33" s="49"/>
      <c r="AH33" s="49">
        <v>1</v>
      </c>
      <c r="AI33" s="49">
        <v>1</v>
      </c>
      <c r="AJ33" s="49">
        <v>1</v>
      </c>
      <c r="AK33" s="49">
        <v>1</v>
      </c>
      <c r="AL33" s="49">
        <v>1</v>
      </c>
      <c r="AM33" s="49">
        <v>1</v>
      </c>
      <c r="AN33" s="49">
        <v>1</v>
      </c>
      <c r="AO33" s="49"/>
      <c r="AP33" s="49"/>
      <c r="AQ33" s="49">
        <v>20</v>
      </c>
      <c r="AR33" s="49"/>
      <c r="AS33" s="49"/>
    </row>
    <row r="34" spans="1:45" ht="15.75" x14ac:dyDescent="0.25">
      <c r="A34" s="38">
        <v>18</v>
      </c>
      <c r="B34" s="42" t="s">
        <v>234</v>
      </c>
      <c r="C34" s="75">
        <v>2</v>
      </c>
      <c r="D34" s="76">
        <v>1</v>
      </c>
      <c r="E34" s="76">
        <v>1</v>
      </c>
      <c r="F34" s="76"/>
      <c r="G34" s="76">
        <v>5</v>
      </c>
      <c r="H34" s="76"/>
      <c r="I34" s="76"/>
      <c r="J34" s="76"/>
      <c r="K34" s="76"/>
      <c r="L34" s="76"/>
      <c r="M34" s="76"/>
      <c r="N34" s="76"/>
      <c r="O34" s="76">
        <v>1</v>
      </c>
      <c r="P34" s="76"/>
      <c r="Q34" s="76"/>
      <c r="R34" s="76"/>
      <c r="S34" s="76">
        <v>1</v>
      </c>
      <c r="T34" s="76"/>
      <c r="U34" s="76"/>
      <c r="V34" s="49"/>
      <c r="W34" s="49"/>
      <c r="X34" s="49"/>
      <c r="Y34" s="49">
        <v>1</v>
      </c>
      <c r="Z34" s="49"/>
      <c r="AA34" s="49"/>
      <c r="AB34" s="49"/>
      <c r="AC34" s="49">
        <v>1</v>
      </c>
      <c r="AD34" s="49"/>
      <c r="AE34" s="49"/>
      <c r="AF34" s="49">
        <v>1</v>
      </c>
      <c r="AG34" s="49"/>
      <c r="AH34" s="49">
        <v>1</v>
      </c>
      <c r="AI34" s="49">
        <v>1</v>
      </c>
      <c r="AJ34" s="49">
        <v>1</v>
      </c>
      <c r="AK34" s="49">
        <v>1</v>
      </c>
      <c r="AL34" s="49">
        <v>1</v>
      </c>
      <c r="AM34" s="49">
        <v>1</v>
      </c>
      <c r="AN34" s="49">
        <v>1</v>
      </c>
      <c r="AO34" s="49"/>
      <c r="AP34" s="49"/>
      <c r="AQ34" s="49"/>
      <c r="AR34" s="49"/>
      <c r="AS34" s="49"/>
    </row>
    <row r="35" spans="1:45" ht="15.75" x14ac:dyDescent="0.25">
      <c r="A35" s="38">
        <v>19</v>
      </c>
      <c r="B35" s="42" t="s">
        <v>235</v>
      </c>
      <c r="C35" s="75">
        <v>2</v>
      </c>
      <c r="D35" s="76">
        <v>1</v>
      </c>
      <c r="E35" s="76">
        <v>1</v>
      </c>
      <c r="F35" s="76"/>
      <c r="G35" s="76">
        <v>5</v>
      </c>
      <c r="H35" s="76"/>
      <c r="I35" s="76"/>
      <c r="J35" s="76"/>
      <c r="K35" s="76"/>
      <c r="L35" s="76"/>
      <c r="M35" s="76"/>
      <c r="N35" s="76"/>
      <c r="O35" s="76">
        <v>1</v>
      </c>
      <c r="P35" s="76"/>
      <c r="Q35" s="76"/>
      <c r="R35" s="76"/>
      <c r="S35" s="76">
        <v>1</v>
      </c>
      <c r="T35" s="76"/>
      <c r="U35" s="76"/>
      <c r="V35" s="49"/>
      <c r="W35" s="49"/>
      <c r="X35" s="49"/>
      <c r="Y35" s="49">
        <v>1</v>
      </c>
      <c r="Z35" s="49"/>
      <c r="AA35" s="49"/>
      <c r="AB35" s="49"/>
      <c r="AC35" s="49">
        <v>1</v>
      </c>
      <c r="AD35" s="49"/>
      <c r="AE35" s="49"/>
      <c r="AF35" s="49">
        <v>1</v>
      </c>
      <c r="AG35" s="49"/>
      <c r="AH35" s="49">
        <v>1</v>
      </c>
      <c r="AI35" s="49">
        <v>1</v>
      </c>
      <c r="AJ35" s="49">
        <v>1</v>
      </c>
      <c r="AK35" s="49">
        <v>1</v>
      </c>
      <c r="AL35" s="49">
        <v>1</v>
      </c>
      <c r="AM35" s="49">
        <v>1</v>
      </c>
      <c r="AN35" s="49">
        <v>1</v>
      </c>
      <c r="AO35" s="49"/>
      <c r="AP35" s="49"/>
      <c r="AQ35" s="49"/>
      <c r="AR35" s="49"/>
      <c r="AS35" s="49"/>
    </row>
    <row r="36" spans="1:45" ht="15.75" x14ac:dyDescent="0.25">
      <c r="A36" s="38">
        <v>20</v>
      </c>
      <c r="B36" s="42" t="s">
        <v>236</v>
      </c>
      <c r="C36" s="75">
        <v>2</v>
      </c>
      <c r="D36" s="76">
        <v>1</v>
      </c>
      <c r="E36" s="76">
        <v>1</v>
      </c>
      <c r="F36" s="76"/>
      <c r="G36" s="76">
        <v>5</v>
      </c>
      <c r="H36" s="76"/>
      <c r="I36" s="76"/>
      <c r="J36" s="76"/>
      <c r="K36" s="76"/>
      <c r="L36" s="76"/>
      <c r="M36" s="76"/>
      <c r="N36" s="76"/>
      <c r="O36" s="76">
        <v>1</v>
      </c>
      <c r="P36" s="76"/>
      <c r="Q36" s="76"/>
      <c r="R36" s="76"/>
      <c r="S36" s="76">
        <v>1</v>
      </c>
      <c r="T36" s="76"/>
      <c r="U36" s="76"/>
      <c r="V36" s="49"/>
      <c r="W36" s="49"/>
      <c r="X36" s="49"/>
      <c r="Y36" s="49">
        <v>1</v>
      </c>
      <c r="Z36" s="49"/>
      <c r="AA36" s="49"/>
      <c r="AB36" s="49"/>
      <c r="AC36" s="49">
        <v>1</v>
      </c>
      <c r="AD36" s="49"/>
      <c r="AE36" s="49"/>
      <c r="AF36" s="49">
        <v>1</v>
      </c>
      <c r="AG36" s="49"/>
      <c r="AH36" s="49">
        <v>1</v>
      </c>
      <c r="AI36" s="49">
        <v>1</v>
      </c>
      <c r="AJ36" s="49">
        <v>1</v>
      </c>
      <c r="AK36" s="49">
        <v>1</v>
      </c>
      <c r="AL36" s="49">
        <v>1</v>
      </c>
      <c r="AM36" s="49">
        <v>1</v>
      </c>
      <c r="AN36" s="49">
        <v>1</v>
      </c>
      <c r="AO36" s="49"/>
      <c r="AP36" s="49"/>
      <c r="AQ36" s="49">
        <v>20</v>
      </c>
      <c r="AR36" s="49"/>
      <c r="AS36" s="49"/>
    </row>
    <row r="37" spans="1:45" ht="15.75" x14ac:dyDescent="0.25">
      <c r="A37" s="38">
        <v>21</v>
      </c>
      <c r="B37" s="42" t="s">
        <v>237</v>
      </c>
      <c r="C37" s="75">
        <v>2</v>
      </c>
      <c r="D37" s="76">
        <v>1</v>
      </c>
      <c r="E37" s="76">
        <v>1</v>
      </c>
      <c r="F37" s="76"/>
      <c r="G37" s="76">
        <v>5</v>
      </c>
      <c r="H37" s="76"/>
      <c r="I37" s="76"/>
      <c r="J37" s="76"/>
      <c r="K37" s="76"/>
      <c r="L37" s="76"/>
      <c r="M37" s="76"/>
      <c r="N37" s="76"/>
      <c r="O37" s="76">
        <v>1</v>
      </c>
      <c r="P37" s="76"/>
      <c r="Q37" s="76"/>
      <c r="R37" s="76"/>
      <c r="S37" s="76">
        <v>1</v>
      </c>
      <c r="T37" s="76"/>
      <c r="U37" s="76"/>
      <c r="V37" s="49"/>
      <c r="W37" s="49"/>
      <c r="X37" s="49"/>
      <c r="Y37" s="49">
        <v>1</v>
      </c>
      <c r="Z37" s="49"/>
      <c r="AA37" s="49"/>
      <c r="AB37" s="49"/>
      <c r="AC37" s="49">
        <v>1</v>
      </c>
      <c r="AD37" s="49"/>
      <c r="AE37" s="49"/>
      <c r="AF37" s="49">
        <v>1</v>
      </c>
      <c r="AG37" s="49"/>
      <c r="AH37" s="49">
        <v>1</v>
      </c>
      <c r="AI37" s="49">
        <v>1</v>
      </c>
      <c r="AJ37" s="49">
        <v>1</v>
      </c>
      <c r="AK37" s="49">
        <v>1</v>
      </c>
      <c r="AL37" s="49">
        <v>1</v>
      </c>
      <c r="AM37" s="49">
        <v>1</v>
      </c>
      <c r="AN37" s="49">
        <v>1</v>
      </c>
      <c r="AO37" s="49"/>
      <c r="AP37" s="49"/>
      <c r="AQ37" s="49">
        <v>20</v>
      </c>
      <c r="AR37" s="49"/>
      <c r="AS37" s="49"/>
    </row>
    <row r="38" spans="1:45" ht="15.75" x14ac:dyDescent="0.25">
      <c r="A38" s="38">
        <v>22</v>
      </c>
      <c r="B38" s="42" t="s">
        <v>238</v>
      </c>
      <c r="C38" s="75">
        <v>2</v>
      </c>
      <c r="D38" s="76">
        <v>1</v>
      </c>
      <c r="E38" s="76">
        <v>1</v>
      </c>
      <c r="F38" s="76"/>
      <c r="G38" s="76">
        <v>5</v>
      </c>
      <c r="H38" s="76"/>
      <c r="I38" s="76"/>
      <c r="J38" s="76"/>
      <c r="K38" s="76"/>
      <c r="L38" s="76"/>
      <c r="M38" s="76"/>
      <c r="N38" s="76"/>
      <c r="O38" s="76">
        <v>1</v>
      </c>
      <c r="P38" s="76"/>
      <c r="Q38" s="76"/>
      <c r="R38" s="76"/>
      <c r="S38" s="76">
        <v>1</v>
      </c>
      <c r="T38" s="76"/>
      <c r="U38" s="76"/>
      <c r="V38" s="49"/>
      <c r="W38" s="49"/>
      <c r="X38" s="49"/>
      <c r="Y38" s="49">
        <v>1</v>
      </c>
      <c r="Z38" s="49"/>
      <c r="AA38" s="49"/>
      <c r="AB38" s="49"/>
      <c r="AC38" s="49">
        <v>1</v>
      </c>
      <c r="AD38" s="49"/>
      <c r="AE38" s="49"/>
      <c r="AF38" s="49">
        <v>1</v>
      </c>
      <c r="AG38" s="49"/>
      <c r="AH38" s="49">
        <v>1</v>
      </c>
      <c r="AI38" s="49">
        <v>1</v>
      </c>
      <c r="AJ38" s="49">
        <v>1</v>
      </c>
      <c r="AK38" s="49">
        <v>1</v>
      </c>
      <c r="AL38" s="49">
        <v>1</v>
      </c>
      <c r="AM38" s="49">
        <v>1</v>
      </c>
      <c r="AN38" s="49">
        <v>1</v>
      </c>
      <c r="AO38" s="49"/>
      <c r="AP38" s="49"/>
      <c r="AQ38" s="49"/>
      <c r="AR38" s="49"/>
      <c r="AS38" s="49"/>
    </row>
    <row r="39" spans="1:45" ht="15.75" x14ac:dyDescent="0.25">
      <c r="A39" s="38">
        <v>23</v>
      </c>
      <c r="B39" s="42" t="s">
        <v>239</v>
      </c>
      <c r="C39" s="75">
        <v>2</v>
      </c>
      <c r="D39" s="76">
        <v>1</v>
      </c>
      <c r="E39" s="76">
        <v>1</v>
      </c>
      <c r="F39" s="76"/>
      <c r="G39" s="76">
        <v>5</v>
      </c>
      <c r="H39" s="76"/>
      <c r="I39" s="76"/>
      <c r="J39" s="76"/>
      <c r="K39" s="76"/>
      <c r="L39" s="76"/>
      <c r="M39" s="76"/>
      <c r="N39" s="76"/>
      <c r="O39" s="76">
        <v>1</v>
      </c>
      <c r="P39" s="76"/>
      <c r="Q39" s="76"/>
      <c r="R39" s="76"/>
      <c r="S39" s="76">
        <v>1</v>
      </c>
      <c r="T39" s="76"/>
      <c r="U39" s="76"/>
      <c r="V39" s="49"/>
      <c r="W39" s="49"/>
      <c r="X39" s="49"/>
      <c r="Y39" s="49">
        <v>1</v>
      </c>
      <c r="Z39" s="49"/>
      <c r="AA39" s="49"/>
      <c r="AB39" s="49"/>
      <c r="AC39" s="49">
        <v>1</v>
      </c>
      <c r="AD39" s="49"/>
      <c r="AE39" s="49"/>
      <c r="AF39" s="49">
        <v>1</v>
      </c>
      <c r="AG39" s="49"/>
      <c r="AH39" s="49">
        <v>1</v>
      </c>
      <c r="AI39" s="49">
        <v>1</v>
      </c>
      <c r="AJ39" s="49">
        <v>1</v>
      </c>
      <c r="AK39" s="49">
        <v>1</v>
      </c>
      <c r="AL39" s="49">
        <v>1</v>
      </c>
      <c r="AM39" s="49">
        <v>1</v>
      </c>
      <c r="AN39" s="49">
        <v>1</v>
      </c>
      <c r="AO39" s="49"/>
      <c r="AP39" s="49"/>
      <c r="AQ39" s="49"/>
      <c r="AR39" s="49"/>
      <c r="AS39" s="49"/>
    </row>
    <row r="40" spans="1:45" ht="15.75" x14ac:dyDescent="0.25">
      <c r="A40" s="38">
        <v>24</v>
      </c>
      <c r="B40" s="42" t="s">
        <v>240</v>
      </c>
      <c r="C40" s="75">
        <v>2</v>
      </c>
      <c r="D40" s="76">
        <v>1</v>
      </c>
      <c r="E40" s="76">
        <v>1</v>
      </c>
      <c r="F40" s="76"/>
      <c r="G40" s="76">
        <v>5</v>
      </c>
      <c r="H40" s="76"/>
      <c r="I40" s="76"/>
      <c r="J40" s="76"/>
      <c r="K40" s="76"/>
      <c r="L40" s="76"/>
      <c r="M40" s="76"/>
      <c r="N40" s="76"/>
      <c r="O40" s="76">
        <v>1</v>
      </c>
      <c r="P40" s="76"/>
      <c r="Q40" s="76"/>
      <c r="R40" s="76"/>
      <c r="S40" s="76">
        <v>1</v>
      </c>
      <c r="T40" s="76"/>
      <c r="U40" s="76"/>
      <c r="V40" s="49"/>
      <c r="W40" s="49"/>
      <c r="X40" s="49"/>
      <c r="Y40" s="49">
        <v>1</v>
      </c>
      <c r="Z40" s="49"/>
      <c r="AA40" s="49"/>
      <c r="AB40" s="49"/>
      <c r="AC40" s="49">
        <v>1</v>
      </c>
      <c r="AD40" s="49"/>
      <c r="AE40" s="49"/>
      <c r="AF40" s="49">
        <v>1</v>
      </c>
      <c r="AG40" s="49"/>
      <c r="AH40" s="49">
        <v>1</v>
      </c>
      <c r="AI40" s="49">
        <v>1</v>
      </c>
      <c r="AJ40" s="49">
        <v>1</v>
      </c>
      <c r="AK40" s="49">
        <v>1</v>
      </c>
      <c r="AL40" s="49">
        <v>1</v>
      </c>
      <c r="AM40" s="49">
        <v>1</v>
      </c>
      <c r="AN40" s="49">
        <v>1</v>
      </c>
      <c r="AO40" s="49"/>
      <c r="AP40" s="49"/>
      <c r="AQ40" s="49">
        <v>20</v>
      </c>
      <c r="AR40" s="49"/>
      <c r="AS40" s="49"/>
    </row>
    <row r="41" spans="1:45" ht="15.75" x14ac:dyDescent="0.25">
      <c r="A41" s="38">
        <v>25</v>
      </c>
      <c r="B41" s="42" t="s">
        <v>315</v>
      </c>
      <c r="C41" s="75">
        <v>2</v>
      </c>
      <c r="D41" s="76">
        <v>1</v>
      </c>
      <c r="E41" s="76">
        <v>1</v>
      </c>
      <c r="F41" s="76"/>
      <c r="G41" s="76">
        <v>5</v>
      </c>
      <c r="H41" s="76"/>
      <c r="I41" s="76"/>
      <c r="J41" s="76"/>
      <c r="K41" s="76"/>
      <c r="L41" s="76"/>
      <c r="M41" s="76"/>
      <c r="N41" s="76"/>
      <c r="O41" s="76">
        <v>1</v>
      </c>
      <c r="P41" s="76"/>
      <c r="Q41" s="76"/>
      <c r="R41" s="76"/>
      <c r="S41" s="76">
        <v>1</v>
      </c>
      <c r="T41" s="76"/>
      <c r="U41" s="76"/>
      <c r="V41" s="49"/>
      <c r="W41" s="49"/>
      <c r="X41" s="49"/>
      <c r="Y41" s="49">
        <v>1</v>
      </c>
      <c r="Z41" s="49"/>
      <c r="AA41" s="49"/>
      <c r="AB41" s="49"/>
      <c r="AC41" s="49">
        <v>1</v>
      </c>
      <c r="AD41" s="49"/>
      <c r="AE41" s="49"/>
      <c r="AF41" s="49">
        <v>1</v>
      </c>
      <c r="AG41" s="49"/>
      <c r="AH41" s="49">
        <v>1</v>
      </c>
      <c r="AI41" s="49">
        <v>1</v>
      </c>
      <c r="AJ41" s="49">
        <v>1</v>
      </c>
      <c r="AK41" s="49">
        <v>1</v>
      </c>
      <c r="AL41" s="49">
        <v>1</v>
      </c>
      <c r="AM41" s="49">
        <v>1</v>
      </c>
      <c r="AN41" s="49">
        <v>1</v>
      </c>
      <c r="AO41" s="49"/>
      <c r="AP41" s="49"/>
      <c r="AQ41" s="49"/>
      <c r="AR41" s="49"/>
      <c r="AS41" s="49"/>
    </row>
    <row r="42" spans="1:45" ht="15.75" x14ac:dyDescent="0.25">
      <c r="A42" s="38">
        <v>26</v>
      </c>
      <c r="B42" s="42" t="s">
        <v>241</v>
      </c>
      <c r="C42" s="75">
        <v>2</v>
      </c>
      <c r="D42" s="76">
        <v>1</v>
      </c>
      <c r="E42" s="76">
        <v>1</v>
      </c>
      <c r="F42" s="76"/>
      <c r="G42" s="76">
        <v>5</v>
      </c>
      <c r="H42" s="76"/>
      <c r="I42" s="76"/>
      <c r="J42" s="76"/>
      <c r="K42" s="76"/>
      <c r="L42" s="76"/>
      <c r="M42" s="76"/>
      <c r="N42" s="76"/>
      <c r="O42" s="76">
        <v>1</v>
      </c>
      <c r="P42" s="76"/>
      <c r="Q42" s="76"/>
      <c r="R42" s="76"/>
      <c r="S42" s="76">
        <v>1</v>
      </c>
      <c r="T42" s="76"/>
      <c r="U42" s="76"/>
      <c r="V42" s="49"/>
      <c r="W42" s="49"/>
      <c r="X42" s="49"/>
      <c r="Y42" s="49">
        <v>1</v>
      </c>
      <c r="Z42" s="49"/>
      <c r="AA42" s="49"/>
      <c r="AB42" s="49"/>
      <c r="AC42" s="49">
        <v>1</v>
      </c>
      <c r="AD42" s="49"/>
      <c r="AE42" s="49"/>
      <c r="AF42" s="49">
        <v>1</v>
      </c>
      <c r="AG42" s="49"/>
      <c r="AH42" s="49">
        <v>1</v>
      </c>
      <c r="AI42" s="49">
        <v>1</v>
      </c>
      <c r="AJ42" s="49">
        <v>1</v>
      </c>
      <c r="AK42" s="49">
        <v>1</v>
      </c>
      <c r="AL42" s="49">
        <v>1</v>
      </c>
      <c r="AM42" s="49">
        <v>1</v>
      </c>
      <c r="AN42" s="49">
        <v>1</v>
      </c>
      <c r="AO42" s="49"/>
      <c r="AP42" s="49"/>
      <c r="AQ42" s="49">
        <v>20</v>
      </c>
      <c r="AR42" s="49"/>
      <c r="AS42" s="49"/>
    </row>
    <row r="43" spans="1:45" ht="15.75" x14ac:dyDescent="0.25">
      <c r="A43" s="38">
        <v>27</v>
      </c>
      <c r="B43" s="42" t="s">
        <v>242</v>
      </c>
      <c r="C43" s="75">
        <v>2</v>
      </c>
      <c r="D43" s="76">
        <v>1</v>
      </c>
      <c r="E43" s="76">
        <v>1</v>
      </c>
      <c r="F43" s="76"/>
      <c r="G43" s="76">
        <v>5</v>
      </c>
      <c r="H43" s="76"/>
      <c r="I43" s="76"/>
      <c r="J43" s="76"/>
      <c r="K43" s="76"/>
      <c r="L43" s="76"/>
      <c r="M43" s="76"/>
      <c r="N43" s="76"/>
      <c r="O43" s="76">
        <v>1</v>
      </c>
      <c r="P43" s="76"/>
      <c r="Q43" s="76"/>
      <c r="R43" s="76"/>
      <c r="S43" s="76">
        <v>1</v>
      </c>
      <c r="T43" s="76"/>
      <c r="U43" s="76"/>
      <c r="V43" s="49"/>
      <c r="W43" s="49"/>
      <c r="X43" s="49"/>
      <c r="Y43" s="49">
        <v>1</v>
      </c>
      <c r="Z43" s="49"/>
      <c r="AA43" s="49"/>
      <c r="AB43" s="49"/>
      <c r="AC43" s="49">
        <v>1</v>
      </c>
      <c r="AD43" s="49"/>
      <c r="AE43" s="49"/>
      <c r="AF43" s="49">
        <v>1</v>
      </c>
      <c r="AG43" s="49"/>
      <c r="AH43" s="49">
        <v>1</v>
      </c>
      <c r="AI43" s="49">
        <v>1</v>
      </c>
      <c r="AJ43" s="49">
        <v>1</v>
      </c>
      <c r="AK43" s="49">
        <v>1</v>
      </c>
      <c r="AL43" s="49">
        <v>1</v>
      </c>
      <c r="AM43" s="49">
        <v>1</v>
      </c>
      <c r="AN43" s="49">
        <v>1</v>
      </c>
      <c r="AO43" s="49"/>
      <c r="AP43" s="49"/>
      <c r="AQ43" s="49">
        <v>20</v>
      </c>
      <c r="AR43" s="49"/>
      <c r="AS43" s="49"/>
    </row>
    <row r="44" spans="1:45" ht="15.75" x14ac:dyDescent="0.25">
      <c r="A44" s="38">
        <v>28</v>
      </c>
      <c r="B44" s="42" t="s">
        <v>243</v>
      </c>
      <c r="C44" s="75">
        <v>2</v>
      </c>
      <c r="D44" s="76">
        <v>1</v>
      </c>
      <c r="E44" s="76">
        <v>1</v>
      </c>
      <c r="F44" s="76"/>
      <c r="G44" s="76">
        <v>5</v>
      </c>
      <c r="H44" s="76"/>
      <c r="I44" s="76"/>
      <c r="J44" s="76"/>
      <c r="K44" s="76"/>
      <c r="L44" s="76"/>
      <c r="M44" s="76"/>
      <c r="N44" s="76"/>
      <c r="O44" s="76">
        <v>1</v>
      </c>
      <c r="P44" s="76"/>
      <c r="Q44" s="76"/>
      <c r="R44" s="76"/>
      <c r="S44" s="76">
        <v>1</v>
      </c>
      <c r="T44" s="76"/>
      <c r="U44" s="76"/>
      <c r="V44" s="49"/>
      <c r="W44" s="49"/>
      <c r="X44" s="49"/>
      <c r="Y44" s="49">
        <v>1</v>
      </c>
      <c r="Z44" s="49"/>
      <c r="AA44" s="49"/>
      <c r="AB44" s="49"/>
      <c r="AC44" s="49">
        <v>1</v>
      </c>
      <c r="AD44" s="49"/>
      <c r="AE44" s="49"/>
      <c r="AF44" s="49">
        <v>1</v>
      </c>
      <c r="AG44" s="49"/>
      <c r="AH44" s="49">
        <v>1</v>
      </c>
      <c r="AI44" s="49">
        <v>1</v>
      </c>
      <c r="AJ44" s="49">
        <v>1</v>
      </c>
      <c r="AK44" s="49">
        <v>1</v>
      </c>
      <c r="AL44" s="49">
        <v>1</v>
      </c>
      <c r="AM44" s="49">
        <v>1</v>
      </c>
      <c r="AN44" s="49">
        <v>1</v>
      </c>
      <c r="AO44" s="49"/>
      <c r="AP44" s="49"/>
      <c r="AQ44" s="49">
        <v>20</v>
      </c>
      <c r="AR44" s="49"/>
      <c r="AS44" s="49"/>
    </row>
    <row r="45" spans="1:45" ht="15.75" x14ac:dyDescent="0.25">
      <c r="A45" s="38">
        <v>29</v>
      </c>
      <c r="B45" s="42" t="s">
        <v>244</v>
      </c>
      <c r="C45" s="75">
        <v>2</v>
      </c>
      <c r="D45" s="76">
        <v>1</v>
      </c>
      <c r="E45" s="76">
        <v>1</v>
      </c>
      <c r="F45" s="76"/>
      <c r="G45" s="76">
        <v>5</v>
      </c>
      <c r="H45" s="76"/>
      <c r="I45" s="76"/>
      <c r="J45" s="76"/>
      <c r="K45" s="76"/>
      <c r="L45" s="76"/>
      <c r="M45" s="76"/>
      <c r="N45" s="76"/>
      <c r="O45" s="76">
        <v>1</v>
      </c>
      <c r="P45" s="76"/>
      <c r="Q45" s="76"/>
      <c r="R45" s="76"/>
      <c r="S45" s="76">
        <v>1</v>
      </c>
      <c r="T45" s="76"/>
      <c r="U45" s="76"/>
      <c r="V45" s="49"/>
      <c r="W45" s="49"/>
      <c r="X45" s="49"/>
      <c r="Y45" s="49">
        <v>1</v>
      </c>
      <c r="Z45" s="49"/>
      <c r="AA45" s="49"/>
      <c r="AB45" s="49"/>
      <c r="AC45" s="49">
        <v>1</v>
      </c>
      <c r="AD45" s="49"/>
      <c r="AE45" s="49"/>
      <c r="AF45" s="49">
        <v>1</v>
      </c>
      <c r="AG45" s="49"/>
      <c r="AH45" s="49">
        <v>1</v>
      </c>
      <c r="AI45" s="49">
        <v>1</v>
      </c>
      <c r="AJ45" s="49">
        <v>1</v>
      </c>
      <c r="AK45" s="49">
        <v>1</v>
      </c>
      <c r="AL45" s="49">
        <v>1</v>
      </c>
      <c r="AM45" s="49">
        <v>1</v>
      </c>
      <c r="AN45" s="49">
        <v>1</v>
      </c>
      <c r="AO45" s="49"/>
      <c r="AP45" s="49"/>
      <c r="AQ45" s="49">
        <v>20</v>
      </c>
      <c r="AR45" s="49"/>
      <c r="AS45" s="49"/>
    </row>
    <row r="46" spans="1:45" ht="15.75" x14ac:dyDescent="0.25">
      <c r="A46" s="38">
        <v>30</v>
      </c>
      <c r="B46" s="42" t="s">
        <v>245</v>
      </c>
      <c r="C46" s="75">
        <v>2</v>
      </c>
      <c r="D46" s="76">
        <v>1</v>
      </c>
      <c r="E46" s="76">
        <v>1</v>
      </c>
      <c r="F46" s="76"/>
      <c r="G46" s="76">
        <v>5</v>
      </c>
      <c r="H46" s="76"/>
      <c r="I46" s="76"/>
      <c r="J46" s="76"/>
      <c r="K46" s="76"/>
      <c r="L46" s="76"/>
      <c r="M46" s="76"/>
      <c r="N46" s="76"/>
      <c r="O46" s="76">
        <v>1</v>
      </c>
      <c r="P46" s="76"/>
      <c r="Q46" s="76"/>
      <c r="R46" s="76"/>
      <c r="S46" s="76">
        <v>1</v>
      </c>
      <c r="T46" s="76"/>
      <c r="U46" s="76"/>
      <c r="V46" s="49"/>
      <c r="W46" s="49"/>
      <c r="X46" s="49"/>
      <c r="Y46" s="49">
        <v>1</v>
      </c>
      <c r="Z46" s="49"/>
      <c r="AA46" s="49"/>
      <c r="AB46" s="49"/>
      <c r="AC46" s="49">
        <v>1</v>
      </c>
      <c r="AD46" s="49"/>
      <c r="AE46" s="49"/>
      <c r="AF46" s="49">
        <v>1</v>
      </c>
      <c r="AG46" s="49"/>
      <c r="AH46" s="49">
        <v>1</v>
      </c>
      <c r="AI46" s="49">
        <v>1</v>
      </c>
      <c r="AJ46" s="49">
        <v>1</v>
      </c>
      <c r="AK46" s="49">
        <v>1</v>
      </c>
      <c r="AL46" s="49">
        <v>1</v>
      </c>
      <c r="AM46" s="49">
        <v>1</v>
      </c>
      <c r="AN46" s="49">
        <v>1</v>
      </c>
      <c r="AO46" s="49"/>
      <c r="AP46" s="49"/>
      <c r="AQ46" s="49">
        <v>20</v>
      </c>
      <c r="AR46" s="49"/>
      <c r="AS46" s="49"/>
    </row>
    <row r="47" spans="1:45" ht="15.75" x14ac:dyDescent="0.25">
      <c r="A47" s="38">
        <v>31</v>
      </c>
      <c r="B47" s="42" t="s">
        <v>246</v>
      </c>
      <c r="C47" s="75">
        <v>2</v>
      </c>
      <c r="D47" s="76">
        <v>1</v>
      </c>
      <c r="E47" s="76">
        <v>1</v>
      </c>
      <c r="F47" s="76"/>
      <c r="G47" s="76">
        <v>5</v>
      </c>
      <c r="H47" s="76"/>
      <c r="I47" s="76"/>
      <c r="J47" s="76"/>
      <c r="K47" s="76"/>
      <c r="L47" s="76"/>
      <c r="M47" s="76"/>
      <c r="N47" s="76"/>
      <c r="O47" s="76">
        <v>1</v>
      </c>
      <c r="P47" s="76"/>
      <c r="Q47" s="76"/>
      <c r="R47" s="76"/>
      <c r="S47" s="76">
        <v>1</v>
      </c>
      <c r="T47" s="76"/>
      <c r="U47" s="76"/>
      <c r="V47" s="49"/>
      <c r="W47" s="49"/>
      <c r="X47" s="49"/>
      <c r="Y47" s="49">
        <v>1</v>
      </c>
      <c r="Z47" s="49"/>
      <c r="AA47" s="49"/>
      <c r="AB47" s="49"/>
      <c r="AC47" s="49">
        <v>1</v>
      </c>
      <c r="AD47" s="49"/>
      <c r="AE47" s="49"/>
      <c r="AF47" s="49">
        <v>1</v>
      </c>
      <c r="AG47" s="49"/>
      <c r="AH47" s="49">
        <v>1</v>
      </c>
      <c r="AI47" s="49">
        <v>1</v>
      </c>
      <c r="AJ47" s="49">
        <v>1</v>
      </c>
      <c r="AK47" s="49">
        <v>1</v>
      </c>
      <c r="AL47" s="49">
        <v>1</v>
      </c>
      <c r="AM47" s="49">
        <v>1</v>
      </c>
      <c r="AN47" s="49">
        <v>1</v>
      </c>
      <c r="AO47" s="49"/>
      <c r="AP47" s="49"/>
      <c r="AQ47" s="49"/>
      <c r="AR47" s="49"/>
      <c r="AS47" s="49"/>
    </row>
    <row r="48" spans="1:45" ht="15.75" x14ac:dyDescent="0.25">
      <c r="A48" s="38">
        <v>32</v>
      </c>
      <c r="B48" s="42" t="s">
        <v>247</v>
      </c>
      <c r="C48" s="75">
        <v>2</v>
      </c>
      <c r="D48" s="76">
        <v>1</v>
      </c>
      <c r="E48" s="76">
        <v>1</v>
      </c>
      <c r="F48" s="76"/>
      <c r="G48" s="76">
        <v>5</v>
      </c>
      <c r="H48" s="76"/>
      <c r="I48" s="76"/>
      <c r="J48" s="76"/>
      <c r="K48" s="76"/>
      <c r="L48" s="76"/>
      <c r="M48" s="76"/>
      <c r="N48" s="76"/>
      <c r="O48" s="76">
        <v>1</v>
      </c>
      <c r="P48" s="76"/>
      <c r="Q48" s="76"/>
      <c r="R48" s="76"/>
      <c r="S48" s="76">
        <v>1</v>
      </c>
      <c r="T48" s="76"/>
      <c r="U48" s="76"/>
      <c r="V48" s="49"/>
      <c r="W48" s="49"/>
      <c r="X48" s="49"/>
      <c r="Y48" s="49">
        <v>1</v>
      </c>
      <c r="Z48" s="49"/>
      <c r="AA48" s="49"/>
      <c r="AB48" s="49"/>
      <c r="AC48" s="49">
        <v>1</v>
      </c>
      <c r="AD48" s="49"/>
      <c r="AE48" s="49"/>
      <c r="AF48" s="49">
        <v>1</v>
      </c>
      <c r="AG48" s="49"/>
      <c r="AH48" s="49">
        <v>1</v>
      </c>
      <c r="AI48" s="49">
        <v>1</v>
      </c>
      <c r="AJ48" s="49">
        <v>1</v>
      </c>
      <c r="AK48" s="49">
        <v>1</v>
      </c>
      <c r="AL48" s="49">
        <v>1</v>
      </c>
      <c r="AM48" s="49">
        <v>1</v>
      </c>
      <c r="AN48" s="49">
        <v>1</v>
      </c>
      <c r="AO48" s="49"/>
      <c r="AP48" s="49"/>
      <c r="AQ48" s="49"/>
      <c r="AR48" s="49"/>
      <c r="AS48" s="49"/>
    </row>
    <row r="49" spans="1:45" ht="15.75" x14ac:dyDescent="0.25">
      <c r="A49" s="38">
        <v>33</v>
      </c>
      <c r="B49" s="42" t="s">
        <v>248</v>
      </c>
      <c r="C49" s="75">
        <v>2</v>
      </c>
      <c r="D49" s="76">
        <v>1</v>
      </c>
      <c r="E49" s="76">
        <v>1</v>
      </c>
      <c r="F49" s="76"/>
      <c r="G49" s="76">
        <v>5</v>
      </c>
      <c r="H49" s="76"/>
      <c r="I49" s="76"/>
      <c r="J49" s="76"/>
      <c r="K49" s="76"/>
      <c r="L49" s="76"/>
      <c r="M49" s="76"/>
      <c r="N49" s="76"/>
      <c r="O49" s="76">
        <v>1</v>
      </c>
      <c r="P49" s="76"/>
      <c r="Q49" s="76"/>
      <c r="R49" s="76"/>
      <c r="S49" s="76">
        <v>1</v>
      </c>
      <c r="T49" s="76"/>
      <c r="U49" s="76"/>
      <c r="V49" s="49"/>
      <c r="W49" s="49"/>
      <c r="X49" s="49"/>
      <c r="Y49" s="49">
        <v>1</v>
      </c>
      <c r="Z49" s="49"/>
      <c r="AA49" s="49"/>
      <c r="AB49" s="49"/>
      <c r="AC49" s="49">
        <v>1</v>
      </c>
      <c r="AD49" s="49"/>
      <c r="AE49" s="49"/>
      <c r="AF49" s="49">
        <v>1</v>
      </c>
      <c r="AG49" s="49"/>
      <c r="AH49" s="49">
        <v>1</v>
      </c>
      <c r="AI49" s="49">
        <v>1</v>
      </c>
      <c r="AJ49" s="49">
        <v>1</v>
      </c>
      <c r="AK49" s="49">
        <v>1</v>
      </c>
      <c r="AL49" s="49">
        <v>1</v>
      </c>
      <c r="AM49" s="49">
        <v>1</v>
      </c>
      <c r="AN49" s="49">
        <v>1</v>
      </c>
      <c r="AO49" s="49"/>
      <c r="AP49" s="49"/>
      <c r="AQ49" s="49"/>
      <c r="AR49" s="49"/>
      <c r="AS49" s="49"/>
    </row>
    <row r="50" spans="1:45" ht="15.75" x14ac:dyDescent="0.25">
      <c r="A50" s="38">
        <v>34</v>
      </c>
      <c r="B50" s="42" t="s">
        <v>249</v>
      </c>
      <c r="C50" s="75">
        <v>2</v>
      </c>
      <c r="D50" s="76">
        <v>1</v>
      </c>
      <c r="E50" s="76">
        <v>1</v>
      </c>
      <c r="F50" s="76"/>
      <c r="G50" s="76">
        <v>5</v>
      </c>
      <c r="H50" s="76"/>
      <c r="I50" s="76"/>
      <c r="J50" s="76"/>
      <c r="K50" s="76"/>
      <c r="L50" s="76"/>
      <c r="M50" s="76"/>
      <c r="N50" s="76"/>
      <c r="O50" s="76">
        <v>1</v>
      </c>
      <c r="P50" s="76"/>
      <c r="Q50" s="76"/>
      <c r="R50" s="76"/>
      <c r="S50" s="76">
        <v>1</v>
      </c>
      <c r="T50" s="76"/>
      <c r="U50" s="76"/>
      <c r="V50" s="49"/>
      <c r="W50" s="49"/>
      <c r="X50" s="49"/>
      <c r="Y50" s="49">
        <v>1</v>
      </c>
      <c r="Z50" s="49"/>
      <c r="AA50" s="49"/>
      <c r="AB50" s="49"/>
      <c r="AC50" s="49">
        <v>1</v>
      </c>
      <c r="AD50" s="49"/>
      <c r="AE50" s="49"/>
      <c r="AF50" s="49">
        <v>1</v>
      </c>
      <c r="AG50" s="49"/>
      <c r="AH50" s="49">
        <v>1</v>
      </c>
      <c r="AI50" s="49">
        <v>1</v>
      </c>
      <c r="AJ50" s="49">
        <v>1</v>
      </c>
      <c r="AK50" s="49">
        <v>1</v>
      </c>
      <c r="AL50" s="49">
        <v>1</v>
      </c>
      <c r="AM50" s="49">
        <v>1</v>
      </c>
      <c r="AN50" s="49">
        <v>1</v>
      </c>
      <c r="AO50" s="49"/>
      <c r="AP50" s="49"/>
      <c r="AQ50" s="49"/>
      <c r="AR50" s="49"/>
      <c r="AS50" s="49"/>
    </row>
    <row r="51" spans="1:45" ht="15.75" x14ac:dyDescent="0.25">
      <c r="A51" s="38">
        <v>35</v>
      </c>
      <c r="B51" s="42" t="s">
        <v>250</v>
      </c>
      <c r="C51" s="75">
        <v>2</v>
      </c>
      <c r="D51" s="76">
        <v>1</v>
      </c>
      <c r="E51" s="76">
        <v>1</v>
      </c>
      <c r="F51" s="76"/>
      <c r="G51" s="76">
        <v>5</v>
      </c>
      <c r="H51" s="76"/>
      <c r="I51" s="76"/>
      <c r="J51" s="76"/>
      <c r="K51" s="76"/>
      <c r="L51" s="76"/>
      <c r="M51" s="76"/>
      <c r="N51" s="76"/>
      <c r="O51" s="76">
        <v>1</v>
      </c>
      <c r="P51" s="76"/>
      <c r="Q51" s="76"/>
      <c r="R51" s="76"/>
      <c r="S51" s="76">
        <v>1</v>
      </c>
      <c r="T51" s="76"/>
      <c r="U51" s="76"/>
      <c r="V51" s="49"/>
      <c r="W51" s="49"/>
      <c r="X51" s="49"/>
      <c r="Y51" s="49">
        <v>1</v>
      </c>
      <c r="Z51" s="49"/>
      <c r="AA51" s="49"/>
      <c r="AB51" s="49"/>
      <c r="AC51" s="49">
        <v>1</v>
      </c>
      <c r="AD51" s="49"/>
      <c r="AE51" s="49"/>
      <c r="AF51" s="49">
        <v>1</v>
      </c>
      <c r="AG51" s="49"/>
      <c r="AH51" s="49">
        <v>1</v>
      </c>
      <c r="AI51" s="49">
        <v>1</v>
      </c>
      <c r="AJ51" s="49">
        <v>1</v>
      </c>
      <c r="AK51" s="49">
        <v>1</v>
      </c>
      <c r="AL51" s="49">
        <v>1</v>
      </c>
      <c r="AM51" s="49">
        <v>1</v>
      </c>
      <c r="AN51" s="49">
        <v>1</v>
      </c>
      <c r="AO51" s="49"/>
      <c r="AP51" s="49"/>
      <c r="AQ51" s="49">
        <v>20</v>
      </c>
      <c r="AR51" s="49"/>
      <c r="AS51" s="49"/>
    </row>
    <row r="52" spans="1:45" ht="15.75" x14ac:dyDescent="0.25">
      <c r="A52" s="38">
        <v>36</v>
      </c>
      <c r="B52" s="42" t="s">
        <v>251</v>
      </c>
      <c r="C52" s="75">
        <v>2</v>
      </c>
      <c r="D52" s="76">
        <v>1</v>
      </c>
      <c r="E52" s="76">
        <v>1</v>
      </c>
      <c r="F52" s="76"/>
      <c r="G52" s="76">
        <v>5</v>
      </c>
      <c r="H52" s="76"/>
      <c r="I52" s="76"/>
      <c r="J52" s="76"/>
      <c r="K52" s="76"/>
      <c r="L52" s="76"/>
      <c r="M52" s="76"/>
      <c r="N52" s="76"/>
      <c r="O52" s="76">
        <v>1</v>
      </c>
      <c r="P52" s="76"/>
      <c r="Q52" s="76"/>
      <c r="R52" s="76"/>
      <c r="S52" s="76">
        <v>1</v>
      </c>
      <c r="T52" s="76"/>
      <c r="U52" s="76"/>
      <c r="V52" s="49"/>
      <c r="W52" s="49"/>
      <c r="X52" s="49"/>
      <c r="Y52" s="49">
        <v>1</v>
      </c>
      <c r="Z52" s="49"/>
      <c r="AA52" s="49"/>
      <c r="AB52" s="49"/>
      <c r="AC52" s="49">
        <v>1</v>
      </c>
      <c r="AD52" s="49"/>
      <c r="AE52" s="49"/>
      <c r="AF52" s="49">
        <v>1</v>
      </c>
      <c r="AG52" s="49"/>
      <c r="AH52" s="49">
        <v>1</v>
      </c>
      <c r="AI52" s="49">
        <v>1</v>
      </c>
      <c r="AJ52" s="49">
        <v>1</v>
      </c>
      <c r="AK52" s="49">
        <v>1</v>
      </c>
      <c r="AL52" s="49">
        <v>1</v>
      </c>
      <c r="AM52" s="49">
        <v>1</v>
      </c>
      <c r="AN52" s="49">
        <v>1</v>
      </c>
      <c r="AO52" s="49"/>
      <c r="AP52" s="49"/>
      <c r="AQ52" s="49"/>
      <c r="AR52" s="49"/>
      <c r="AS52" s="49"/>
    </row>
    <row r="53" spans="1:45" ht="15.75" x14ac:dyDescent="0.25">
      <c r="A53" s="38">
        <v>37</v>
      </c>
      <c r="B53" s="42" t="s">
        <v>252</v>
      </c>
      <c r="C53" s="75">
        <v>2</v>
      </c>
      <c r="D53" s="76">
        <v>1</v>
      </c>
      <c r="E53" s="76">
        <v>1</v>
      </c>
      <c r="F53" s="76"/>
      <c r="G53" s="76">
        <v>5</v>
      </c>
      <c r="H53" s="76"/>
      <c r="I53" s="76"/>
      <c r="J53" s="76"/>
      <c r="K53" s="76"/>
      <c r="L53" s="76"/>
      <c r="M53" s="76"/>
      <c r="N53" s="76"/>
      <c r="O53" s="76">
        <v>1</v>
      </c>
      <c r="P53" s="76"/>
      <c r="Q53" s="76"/>
      <c r="R53" s="76"/>
      <c r="S53" s="76">
        <v>1</v>
      </c>
      <c r="T53" s="76"/>
      <c r="U53" s="76"/>
      <c r="V53" s="49"/>
      <c r="W53" s="49"/>
      <c r="X53" s="49"/>
      <c r="Y53" s="49">
        <v>1</v>
      </c>
      <c r="Z53" s="49"/>
      <c r="AA53" s="49"/>
      <c r="AB53" s="49"/>
      <c r="AC53" s="49">
        <v>1</v>
      </c>
      <c r="AD53" s="49"/>
      <c r="AE53" s="49"/>
      <c r="AF53" s="49">
        <v>1</v>
      </c>
      <c r="AG53" s="49"/>
      <c r="AH53" s="49">
        <v>1</v>
      </c>
      <c r="AI53" s="49">
        <v>1</v>
      </c>
      <c r="AJ53" s="49">
        <v>1</v>
      </c>
      <c r="AK53" s="49">
        <v>1</v>
      </c>
      <c r="AL53" s="49">
        <v>1</v>
      </c>
      <c r="AM53" s="49">
        <v>1</v>
      </c>
      <c r="AN53" s="49">
        <v>1</v>
      </c>
      <c r="AO53" s="49"/>
      <c r="AP53" s="49"/>
      <c r="AQ53" s="49"/>
      <c r="AR53" s="49"/>
      <c r="AS53" s="49"/>
    </row>
    <row r="54" spans="1:45" ht="15.75" x14ac:dyDescent="0.25">
      <c r="A54" s="38">
        <v>38</v>
      </c>
      <c r="B54" s="42" t="s">
        <v>253</v>
      </c>
      <c r="C54" s="75">
        <v>2</v>
      </c>
      <c r="D54" s="76">
        <v>1</v>
      </c>
      <c r="E54" s="76">
        <v>1</v>
      </c>
      <c r="F54" s="76"/>
      <c r="G54" s="76">
        <v>5</v>
      </c>
      <c r="H54" s="76"/>
      <c r="I54" s="76"/>
      <c r="J54" s="76"/>
      <c r="K54" s="76"/>
      <c r="L54" s="76"/>
      <c r="M54" s="76"/>
      <c r="N54" s="76"/>
      <c r="O54" s="76">
        <v>1</v>
      </c>
      <c r="P54" s="76"/>
      <c r="Q54" s="76"/>
      <c r="R54" s="76"/>
      <c r="S54" s="76">
        <v>1</v>
      </c>
      <c r="T54" s="76"/>
      <c r="U54" s="76"/>
      <c r="V54" s="49"/>
      <c r="W54" s="49"/>
      <c r="X54" s="49"/>
      <c r="Y54" s="49">
        <v>1</v>
      </c>
      <c r="Z54" s="49"/>
      <c r="AA54" s="49"/>
      <c r="AB54" s="49"/>
      <c r="AC54" s="49">
        <v>1</v>
      </c>
      <c r="AD54" s="49"/>
      <c r="AE54" s="49"/>
      <c r="AF54" s="49">
        <v>1</v>
      </c>
      <c r="AG54" s="49"/>
      <c r="AH54" s="49">
        <v>1</v>
      </c>
      <c r="AI54" s="49">
        <v>1</v>
      </c>
      <c r="AJ54" s="49">
        <v>1</v>
      </c>
      <c r="AK54" s="49">
        <v>1</v>
      </c>
      <c r="AL54" s="49">
        <v>1</v>
      </c>
      <c r="AM54" s="49">
        <v>1</v>
      </c>
      <c r="AN54" s="49">
        <v>1</v>
      </c>
      <c r="AO54" s="49"/>
      <c r="AP54" s="49"/>
      <c r="AQ54" s="49"/>
      <c r="AR54" s="49"/>
      <c r="AS54" s="49"/>
    </row>
    <row r="55" spans="1:45" ht="15.75" x14ac:dyDescent="0.25">
      <c r="A55" s="38">
        <v>39</v>
      </c>
      <c r="B55" s="42" t="s">
        <v>254</v>
      </c>
      <c r="C55" s="75">
        <v>2</v>
      </c>
      <c r="D55" s="76">
        <v>1</v>
      </c>
      <c r="E55" s="76">
        <v>1</v>
      </c>
      <c r="F55" s="76"/>
      <c r="G55" s="76">
        <v>5</v>
      </c>
      <c r="H55" s="76"/>
      <c r="I55" s="76"/>
      <c r="J55" s="76"/>
      <c r="K55" s="76"/>
      <c r="L55" s="76"/>
      <c r="M55" s="76"/>
      <c r="N55" s="76"/>
      <c r="O55" s="76">
        <v>1</v>
      </c>
      <c r="P55" s="76"/>
      <c r="Q55" s="76"/>
      <c r="R55" s="76"/>
      <c r="S55" s="76">
        <v>1</v>
      </c>
      <c r="T55" s="76"/>
      <c r="U55" s="76"/>
      <c r="V55" s="49"/>
      <c r="W55" s="49"/>
      <c r="X55" s="49"/>
      <c r="Y55" s="49">
        <v>1</v>
      </c>
      <c r="Z55" s="49"/>
      <c r="AA55" s="49"/>
      <c r="AB55" s="49"/>
      <c r="AC55" s="49">
        <v>1</v>
      </c>
      <c r="AD55" s="49"/>
      <c r="AE55" s="49"/>
      <c r="AF55" s="49">
        <v>1</v>
      </c>
      <c r="AG55" s="49"/>
      <c r="AH55" s="49">
        <v>1</v>
      </c>
      <c r="AI55" s="49">
        <v>1</v>
      </c>
      <c r="AJ55" s="49">
        <v>1</v>
      </c>
      <c r="AK55" s="49">
        <v>1</v>
      </c>
      <c r="AL55" s="49">
        <v>1</v>
      </c>
      <c r="AM55" s="49">
        <v>1</v>
      </c>
      <c r="AN55" s="49">
        <v>1</v>
      </c>
      <c r="AO55" s="49"/>
      <c r="AP55" s="49"/>
      <c r="AQ55" s="49"/>
      <c r="AR55" s="49"/>
      <c r="AS55" s="49"/>
    </row>
    <row r="56" spans="1:45" ht="15.75" x14ac:dyDescent="0.25">
      <c r="A56" s="38">
        <v>40</v>
      </c>
      <c r="B56" s="42" t="s">
        <v>255</v>
      </c>
      <c r="C56" s="75">
        <v>2</v>
      </c>
      <c r="D56" s="76">
        <v>1</v>
      </c>
      <c r="E56" s="76">
        <v>1</v>
      </c>
      <c r="F56" s="76"/>
      <c r="G56" s="76">
        <v>5</v>
      </c>
      <c r="H56" s="76"/>
      <c r="I56" s="76"/>
      <c r="J56" s="76"/>
      <c r="K56" s="76"/>
      <c r="L56" s="76"/>
      <c r="M56" s="76"/>
      <c r="N56" s="76"/>
      <c r="O56" s="76">
        <v>1</v>
      </c>
      <c r="P56" s="76"/>
      <c r="Q56" s="76"/>
      <c r="R56" s="76"/>
      <c r="S56" s="76">
        <v>1</v>
      </c>
      <c r="T56" s="76"/>
      <c r="U56" s="76"/>
      <c r="V56" s="49"/>
      <c r="W56" s="49"/>
      <c r="X56" s="49"/>
      <c r="Y56" s="49">
        <v>1</v>
      </c>
      <c r="Z56" s="49"/>
      <c r="AA56" s="49"/>
      <c r="AB56" s="49"/>
      <c r="AC56" s="49">
        <v>1</v>
      </c>
      <c r="AD56" s="49"/>
      <c r="AE56" s="49"/>
      <c r="AF56" s="49">
        <v>1</v>
      </c>
      <c r="AG56" s="49"/>
      <c r="AH56" s="49">
        <v>1</v>
      </c>
      <c r="AI56" s="49">
        <v>1</v>
      </c>
      <c r="AJ56" s="49">
        <v>1</v>
      </c>
      <c r="AK56" s="49">
        <v>1</v>
      </c>
      <c r="AL56" s="49">
        <v>1</v>
      </c>
      <c r="AM56" s="49">
        <v>1</v>
      </c>
      <c r="AN56" s="49">
        <v>1</v>
      </c>
      <c r="AO56" s="49"/>
      <c r="AP56" s="49"/>
      <c r="AQ56" s="49">
        <v>20</v>
      </c>
      <c r="AR56" s="49"/>
      <c r="AS56" s="49"/>
    </row>
    <row r="57" spans="1:45" ht="15.75" x14ac:dyDescent="0.25">
      <c r="A57" s="38">
        <v>41</v>
      </c>
      <c r="B57" s="42" t="s">
        <v>256</v>
      </c>
      <c r="C57" s="75">
        <v>2</v>
      </c>
      <c r="D57" s="76">
        <v>1</v>
      </c>
      <c r="E57" s="76">
        <v>1</v>
      </c>
      <c r="F57" s="76"/>
      <c r="G57" s="76">
        <v>5</v>
      </c>
      <c r="H57" s="76"/>
      <c r="I57" s="76"/>
      <c r="J57" s="76"/>
      <c r="K57" s="76"/>
      <c r="L57" s="76"/>
      <c r="M57" s="76"/>
      <c r="N57" s="76"/>
      <c r="O57" s="76">
        <v>1</v>
      </c>
      <c r="P57" s="76"/>
      <c r="Q57" s="76"/>
      <c r="R57" s="76"/>
      <c r="S57" s="76">
        <v>1</v>
      </c>
      <c r="T57" s="76"/>
      <c r="U57" s="76"/>
      <c r="V57" s="49"/>
      <c r="W57" s="49"/>
      <c r="X57" s="49"/>
      <c r="Y57" s="49">
        <v>1</v>
      </c>
      <c r="Z57" s="49"/>
      <c r="AA57" s="49"/>
      <c r="AB57" s="49"/>
      <c r="AC57" s="49">
        <v>1</v>
      </c>
      <c r="AD57" s="49"/>
      <c r="AE57" s="49"/>
      <c r="AF57" s="49">
        <v>1</v>
      </c>
      <c r="AG57" s="49"/>
      <c r="AH57" s="49">
        <v>1</v>
      </c>
      <c r="AI57" s="49">
        <v>1</v>
      </c>
      <c r="AJ57" s="49">
        <v>1</v>
      </c>
      <c r="AK57" s="49">
        <v>1</v>
      </c>
      <c r="AL57" s="49">
        <v>1</v>
      </c>
      <c r="AM57" s="49">
        <v>1</v>
      </c>
      <c r="AN57" s="49">
        <v>1</v>
      </c>
      <c r="AO57" s="49"/>
      <c r="AP57" s="49"/>
      <c r="AQ57" s="49"/>
      <c r="AR57" s="49"/>
      <c r="AS57" s="49"/>
    </row>
    <row r="58" spans="1:45" ht="15.75" x14ac:dyDescent="0.25">
      <c r="A58" s="38">
        <v>42</v>
      </c>
      <c r="B58" s="42" t="s">
        <v>228</v>
      </c>
      <c r="C58" s="75">
        <v>2</v>
      </c>
      <c r="D58" s="76">
        <v>1</v>
      </c>
      <c r="E58" s="76">
        <v>1</v>
      </c>
      <c r="F58" s="76"/>
      <c r="G58" s="76">
        <v>5</v>
      </c>
      <c r="H58" s="76"/>
      <c r="I58" s="76"/>
      <c r="J58" s="76"/>
      <c r="K58" s="76"/>
      <c r="L58" s="76"/>
      <c r="M58" s="76"/>
      <c r="N58" s="76"/>
      <c r="O58" s="76">
        <v>1</v>
      </c>
      <c r="P58" s="76"/>
      <c r="Q58" s="76"/>
      <c r="R58" s="76"/>
      <c r="S58" s="76">
        <v>1</v>
      </c>
      <c r="T58" s="76"/>
      <c r="U58" s="76"/>
      <c r="V58" s="49"/>
      <c r="W58" s="49"/>
      <c r="X58" s="49"/>
      <c r="Y58" s="49">
        <v>1</v>
      </c>
      <c r="Z58" s="49"/>
      <c r="AA58" s="49"/>
      <c r="AB58" s="49"/>
      <c r="AC58" s="49">
        <v>1</v>
      </c>
      <c r="AD58" s="49"/>
      <c r="AE58" s="49"/>
      <c r="AF58" s="49">
        <v>1</v>
      </c>
      <c r="AG58" s="49"/>
      <c r="AH58" s="49">
        <v>1</v>
      </c>
      <c r="AI58" s="49">
        <v>1</v>
      </c>
      <c r="AJ58" s="49">
        <v>1</v>
      </c>
      <c r="AK58" s="49">
        <v>1</v>
      </c>
      <c r="AL58" s="49">
        <v>1</v>
      </c>
      <c r="AM58" s="49">
        <v>1</v>
      </c>
      <c r="AN58" s="49">
        <v>1</v>
      </c>
      <c r="AO58" s="49"/>
      <c r="AP58" s="49"/>
      <c r="AQ58" s="49"/>
      <c r="AR58" s="49"/>
      <c r="AS58" s="49"/>
    </row>
    <row r="59" spans="1:45" ht="15.75" x14ac:dyDescent="0.25">
      <c r="A59" s="38">
        <v>43</v>
      </c>
      <c r="B59" s="42" t="s">
        <v>371</v>
      </c>
      <c r="C59" s="75">
        <v>2</v>
      </c>
      <c r="D59" s="76">
        <v>1</v>
      </c>
      <c r="E59" s="76">
        <v>1</v>
      </c>
      <c r="F59" s="76"/>
      <c r="G59" s="76">
        <v>5</v>
      </c>
      <c r="H59" s="76"/>
      <c r="I59" s="76"/>
      <c r="J59" s="76"/>
      <c r="K59" s="76"/>
      <c r="L59" s="76"/>
      <c r="M59" s="76"/>
      <c r="N59" s="76"/>
      <c r="O59" s="76">
        <v>1</v>
      </c>
      <c r="P59" s="76"/>
      <c r="Q59" s="76"/>
      <c r="R59" s="76"/>
      <c r="S59" s="76">
        <v>1</v>
      </c>
      <c r="T59" s="76"/>
      <c r="U59" s="76"/>
      <c r="V59" s="49"/>
      <c r="W59" s="49"/>
      <c r="X59" s="49"/>
      <c r="Y59" s="49">
        <v>1</v>
      </c>
      <c r="Z59" s="49"/>
      <c r="AA59" s="49"/>
      <c r="AB59" s="49"/>
      <c r="AC59" s="49">
        <v>1</v>
      </c>
      <c r="AD59" s="49"/>
      <c r="AE59" s="49"/>
      <c r="AF59" s="49">
        <v>1</v>
      </c>
      <c r="AG59" s="49"/>
      <c r="AH59" s="49">
        <v>1</v>
      </c>
      <c r="AI59" s="49">
        <v>1</v>
      </c>
      <c r="AJ59" s="49">
        <v>1</v>
      </c>
      <c r="AK59" s="49">
        <v>1</v>
      </c>
      <c r="AL59" s="49">
        <v>1</v>
      </c>
      <c r="AM59" s="49">
        <v>1</v>
      </c>
      <c r="AN59" s="49">
        <v>1</v>
      </c>
      <c r="AO59" s="49"/>
      <c r="AP59" s="49"/>
      <c r="AQ59" s="49"/>
      <c r="AR59" s="49"/>
      <c r="AS59" s="49"/>
    </row>
    <row r="60" spans="1:45" ht="15.75" x14ac:dyDescent="0.25">
      <c r="A60" s="38">
        <v>44</v>
      </c>
      <c r="B60" s="42" t="s">
        <v>517</v>
      </c>
      <c r="C60" s="75">
        <v>2</v>
      </c>
      <c r="D60" s="76">
        <v>1</v>
      </c>
      <c r="E60" s="76">
        <v>1</v>
      </c>
      <c r="F60" s="76"/>
      <c r="G60" s="76">
        <v>5</v>
      </c>
      <c r="H60" s="76"/>
      <c r="I60" s="76"/>
      <c r="J60" s="76"/>
      <c r="K60" s="76"/>
      <c r="L60" s="76"/>
      <c r="M60" s="76"/>
      <c r="N60" s="76"/>
      <c r="O60" s="76">
        <v>1</v>
      </c>
      <c r="P60" s="76"/>
      <c r="Q60" s="76"/>
      <c r="R60" s="76"/>
      <c r="S60" s="76">
        <v>1</v>
      </c>
      <c r="T60" s="76"/>
      <c r="U60" s="76"/>
      <c r="V60" s="49"/>
      <c r="W60" s="49"/>
      <c r="X60" s="49"/>
      <c r="Y60" s="49">
        <v>1</v>
      </c>
      <c r="Z60" s="49"/>
      <c r="AA60" s="49"/>
      <c r="AB60" s="49"/>
      <c r="AC60" s="49">
        <v>1</v>
      </c>
      <c r="AD60" s="49"/>
      <c r="AE60" s="49"/>
      <c r="AF60" s="49">
        <v>1</v>
      </c>
      <c r="AG60" s="49"/>
      <c r="AH60" s="49">
        <v>1</v>
      </c>
      <c r="AI60" s="49">
        <v>1</v>
      </c>
      <c r="AJ60" s="49">
        <v>1</v>
      </c>
      <c r="AK60" s="49">
        <v>1</v>
      </c>
      <c r="AL60" s="49">
        <v>1</v>
      </c>
      <c r="AM60" s="49">
        <v>1</v>
      </c>
      <c r="AN60" s="49">
        <v>1</v>
      </c>
      <c r="AO60" s="49"/>
      <c r="AP60" s="49"/>
      <c r="AQ60" s="49"/>
      <c r="AR60" s="49"/>
      <c r="AS60" s="49"/>
    </row>
    <row r="61" spans="1:45" ht="15.75" x14ac:dyDescent="0.25">
      <c r="A61" s="38">
        <v>45</v>
      </c>
      <c r="B61" s="42" t="s">
        <v>377</v>
      </c>
      <c r="C61" s="75">
        <v>2</v>
      </c>
      <c r="D61" s="76">
        <v>1</v>
      </c>
      <c r="E61" s="76">
        <v>1</v>
      </c>
      <c r="F61" s="76"/>
      <c r="G61" s="76">
        <v>5</v>
      </c>
      <c r="H61" s="76"/>
      <c r="I61" s="76"/>
      <c r="J61" s="76"/>
      <c r="K61" s="76"/>
      <c r="L61" s="76"/>
      <c r="M61" s="76"/>
      <c r="N61" s="76"/>
      <c r="O61" s="76">
        <v>1</v>
      </c>
      <c r="P61" s="76"/>
      <c r="Q61" s="76"/>
      <c r="R61" s="76"/>
      <c r="S61" s="76">
        <v>1</v>
      </c>
      <c r="T61" s="76"/>
      <c r="U61" s="76"/>
      <c r="V61" s="49"/>
      <c r="W61" s="49"/>
      <c r="X61" s="49"/>
      <c r="Y61" s="49">
        <v>1</v>
      </c>
      <c r="Z61" s="49"/>
      <c r="AA61" s="49"/>
      <c r="AB61" s="49"/>
      <c r="AC61" s="49">
        <v>1</v>
      </c>
      <c r="AD61" s="49"/>
      <c r="AE61" s="49"/>
      <c r="AF61" s="49">
        <v>1</v>
      </c>
      <c r="AG61" s="49"/>
      <c r="AH61" s="49">
        <v>1</v>
      </c>
      <c r="AI61" s="49">
        <v>1</v>
      </c>
      <c r="AJ61" s="49">
        <v>1</v>
      </c>
      <c r="AK61" s="49">
        <v>1</v>
      </c>
      <c r="AL61" s="49">
        <v>1</v>
      </c>
      <c r="AM61" s="49">
        <v>1</v>
      </c>
      <c r="AN61" s="49">
        <v>1</v>
      </c>
      <c r="AO61" s="49"/>
      <c r="AP61" s="49"/>
      <c r="AQ61" s="49"/>
      <c r="AR61" s="49"/>
      <c r="AS61" s="49"/>
    </row>
    <row r="62" spans="1:45" ht="15.75" x14ac:dyDescent="0.25">
      <c r="A62" s="38">
        <v>46</v>
      </c>
      <c r="B62" s="42" t="s">
        <v>140</v>
      </c>
      <c r="C62" s="75">
        <v>2</v>
      </c>
      <c r="D62" s="76">
        <v>1</v>
      </c>
      <c r="E62" s="76">
        <v>1</v>
      </c>
      <c r="F62" s="76"/>
      <c r="G62" s="76">
        <v>5</v>
      </c>
      <c r="H62" s="76"/>
      <c r="I62" s="76"/>
      <c r="J62" s="76"/>
      <c r="K62" s="76"/>
      <c r="L62" s="76"/>
      <c r="M62" s="76"/>
      <c r="N62" s="76"/>
      <c r="O62" s="76">
        <v>1</v>
      </c>
      <c r="P62" s="76"/>
      <c r="Q62" s="76"/>
      <c r="R62" s="76"/>
      <c r="S62" s="76">
        <v>1</v>
      </c>
      <c r="T62" s="76"/>
      <c r="U62" s="76"/>
      <c r="V62" s="49"/>
      <c r="W62" s="49"/>
      <c r="X62" s="49"/>
      <c r="Y62" s="49">
        <v>1</v>
      </c>
      <c r="Z62" s="49"/>
      <c r="AA62" s="49"/>
      <c r="AB62" s="49"/>
      <c r="AC62" s="49">
        <v>1</v>
      </c>
      <c r="AD62" s="49"/>
      <c r="AE62" s="49"/>
      <c r="AF62" s="49">
        <v>1</v>
      </c>
      <c r="AG62" s="49"/>
      <c r="AH62" s="49">
        <v>1</v>
      </c>
      <c r="AI62" s="49">
        <v>1</v>
      </c>
      <c r="AJ62" s="49">
        <v>1</v>
      </c>
      <c r="AK62" s="49">
        <v>1</v>
      </c>
      <c r="AL62" s="49">
        <v>1</v>
      </c>
      <c r="AM62" s="49">
        <v>1</v>
      </c>
      <c r="AN62" s="49">
        <v>1</v>
      </c>
      <c r="AO62" s="49"/>
      <c r="AP62" s="49"/>
      <c r="AQ62" s="49"/>
      <c r="AR62" s="49"/>
      <c r="AS62" s="49"/>
    </row>
    <row r="63" spans="1:45" ht="15.75" x14ac:dyDescent="0.25">
      <c r="A63" s="38">
        <v>47</v>
      </c>
      <c r="B63" s="42" t="s">
        <v>126</v>
      </c>
      <c r="C63" s="75">
        <v>2</v>
      </c>
      <c r="D63" s="76">
        <v>1</v>
      </c>
      <c r="E63" s="76">
        <v>1</v>
      </c>
      <c r="F63" s="76"/>
      <c r="G63" s="76">
        <v>5</v>
      </c>
      <c r="H63" s="76"/>
      <c r="I63" s="76"/>
      <c r="J63" s="76"/>
      <c r="K63" s="76"/>
      <c r="L63" s="76"/>
      <c r="M63" s="76"/>
      <c r="N63" s="76"/>
      <c r="O63" s="76">
        <v>1</v>
      </c>
      <c r="P63" s="76"/>
      <c r="Q63" s="76"/>
      <c r="R63" s="76"/>
      <c r="S63" s="76">
        <v>1</v>
      </c>
      <c r="T63" s="76"/>
      <c r="U63" s="76"/>
      <c r="V63" s="49"/>
      <c r="W63" s="49"/>
      <c r="X63" s="49"/>
      <c r="Y63" s="49">
        <v>1</v>
      </c>
      <c r="Z63" s="49"/>
      <c r="AA63" s="49"/>
      <c r="AB63" s="49"/>
      <c r="AC63" s="49">
        <v>1</v>
      </c>
      <c r="AD63" s="49"/>
      <c r="AE63" s="49"/>
      <c r="AF63" s="49">
        <v>1</v>
      </c>
      <c r="AG63" s="49"/>
      <c r="AH63" s="49">
        <v>1</v>
      </c>
      <c r="AI63" s="49">
        <v>1</v>
      </c>
      <c r="AJ63" s="49">
        <v>1</v>
      </c>
      <c r="AK63" s="49">
        <v>1</v>
      </c>
      <c r="AL63" s="49">
        <v>1</v>
      </c>
      <c r="AM63" s="49">
        <v>1</v>
      </c>
      <c r="AN63" s="49">
        <v>1</v>
      </c>
      <c r="AO63" s="49"/>
      <c r="AP63" s="49"/>
      <c r="AQ63" s="49"/>
      <c r="AR63" s="49"/>
      <c r="AS63" s="49"/>
    </row>
    <row r="64" spans="1:45" ht="15.75" x14ac:dyDescent="0.25">
      <c r="A64" s="38">
        <v>48</v>
      </c>
      <c r="B64" s="42" t="s">
        <v>149</v>
      </c>
      <c r="C64" s="75">
        <v>2</v>
      </c>
      <c r="D64" s="76">
        <v>1</v>
      </c>
      <c r="E64" s="76">
        <v>1</v>
      </c>
      <c r="F64" s="76"/>
      <c r="G64" s="76">
        <v>5</v>
      </c>
      <c r="H64" s="76"/>
      <c r="I64" s="76"/>
      <c r="J64" s="76"/>
      <c r="K64" s="76"/>
      <c r="L64" s="76"/>
      <c r="M64" s="76"/>
      <c r="N64" s="76"/>
      <c r="O64" s="76">
        <v>1</v>
      </c>
      <c r="P64" s="76"/>
      <c r="Q64" s="76"/>
      <c r="R64" s="76"/>
      <c r="S64" s="76">
        <v>1</v>
      </c>
      <c r="T64" s="76"/>
      <c r="U64" s="76"/>
      <c r="V64" s="49"/>
      <c r="W64" s="49"/>
      <c r="X64" s="49"/>
      <c r="Y64" s="49">
        <v>1</v>
      </c>
      <c r="Z64" s="49"/>
      <c r="AA64" s="49"/>
      <c r="AB64" s="49"/>
      <c r="AC64" s="49">
        <v>1</v>
      </c>
      <c r="AD64" s="49"/>
      <c r="AE64" s="49"/>
      <c r="AF64" s="49">
        <v>1</v>
      </c>
      <c r="AG64" s="49"/>
      <c r="AH64" s="49">
        <v>1</v>
      </c>
      <c r="AI64" s="49">
        <v>1</v>
      </c>
      <c r="AJ64" s="49">
        <v>1</v>
      </c>
      <c r="AK64" s="49">
        <v>1</v>
      </c>
      <c r="AL64" s="49">
        <v>1</v>
      </c>
      <c r="AM64" s="49">
        <v>1</v>
      </c>
      <c r="AN64" s="49">
        <v>1</v>
      </c>
      <c r="AO64" s="49"/>
      <c r="AP64" s="49"/>
      <c r="AQ64" s="49"/>
      <c r="AR64" s="49"/>
      <c r="AS64" s="49"/>
    </row>
    <row r="65" spans="1:45" ht="18.75" x14ac:dyDescent="0.25">
      <c r="A65" s="25"/>
      <c r="B65" s="48" t="s">
        <v>1</v>
      </c>
      <c r="C65" s="34">
        <f t="shared" ref="C65:AS65" si="0">SUM(C17:C64)</f>
        <v>96</v>
      </c>
      <c r="D65" s="34">
        <f t="shared" si="0"/>
        <v>48</v>
      </c>
      <c r="E65" s="34">
        <f t="shared" si="0"/>
        <v>48</v>
      </c>
      <c r="F65" s="34">
        <f t="shared" si="0"/>
        <v>0</v>
      </c>
      <c r="G65" s="34">
        <f t="shared" si="0"/>
        <v>240</v>
      </c>
      <c r="H65" s="34">
        <f t="shared" si="0"/>
        <v>0</v>
      </c>
      <c r="I65" s="34">
        <f t="shared" si="0"/>
        <v>0</v>
      </c>
      <c r="J65" s="34">
        <f t="shared" si="0"/>
        <v>0</v>
      </c>
      <c r="K65" s="34">
        <f t="shared" si="0"/>
        <v>0</v>
      </c>
      <c r="L65" s="34">
        <f t="shared" si="0"/>
        <v>0</v>
      </c>
      <c r="M65" s="34">
        <f t="shared" si="0"/>
        <v>0</v>
      </c>
      <c r="N65" s="34">
        <f t="shared" si="0"/>
        <v>0</v>
      </c>
      <c r="O65" s="34">
        <f t="shared" si="0"/>
        <v>48</v>
      </c>
      <c r="P65" s="34">
        <f t="shared" si="0"/>
        <v>0</v>
      </c>
      <c r="Q65" s="34">
        <f t="shared" si="0"/>
        <v>0</v>
      </c>
      <c r="R65" s="34">
        <f t="shared" si="0"/>
        <v>0</v>
      </c>
      <c r="S65" s="34">
        <f t="shared" si="0"/>
        <v>48</v>
      </c>
      <c r="T65" s="34">
        <f t="shared" si="0"/>
        <v>0</v>
      </c>
      <c r="U65" s="34">
        <f t="shared" si="0"/>
        <v>0</v>
      </c>
      <c r="V65" s="34">
        <f t="shared" si="0"/>
        <v>0</v>
      </c>
      <c r="W65" s="34">
        <f t="shared" si="0"/>
        <v>0</v>
      </c>
      <c r="X65" s="34">
        <f t="shared" si="0"/>
        <v>0</v>
      </c>
      <c r="Y65" s="34">
        <f t="shared" si="0"/>
        <v>48</v>
      </c>
      <c r="Z65" s="34">
        <f t="shared" si="0"/>
        <v>0</v>
      </c>
      <c r="AA65" s="34">
        <f t="shared" si="0"/>
        <v>0</v>
      </c>
      <c r="AB65" s="34">
        <f t="shared" si="0"/>
        <v>0</v>
      </c>
      <c r="AC65" s="34">
        <f t="shared" si="0"/>
        <v>48</v>
      </c>
      <c r="AD65" s="34">
        <f t="shared" si="0"/>
        <v>0</v>
      </c>
      <c r="AE65" s="34">
        <f t="shared" si="0"/>
        <v>0</v>
      </c>
      <c r="AF65" s="34">
        <f t="shared" si="0"/>
        <v>48</v>
      </c>
      <c r="AG65" s="34">
        <f t="shared" si="0"/>
        <v>0</v>
      </c>
      <c r="AH65" s="34">
        <f t="shared" si="0"/>
        <v>48</v>
      </c>
      <c r="AI65" s="34">
        <f t="shared" si="0"/>
        <v>48</v>
      </c>
      <c r="AJ65" s="34">
        <f t="shared" si="0"/>
        <v>48</v>
      </c>
      <c r="AK65" s="34">
        <f t="shared" si="0"/>
        <v>48</v>
      </c>
      <c r="AL65" s="34">
        <f t="shared" si="0"/>
        <v>48</v>
      </c>
      <c r="AM65" s="34">
        <f t="shared" si="0"/>
        <v>48</v>
      </c>
      <c r="AN65" s="34">
        <f t="shared" si="0"/>
        <v>48</v>
      </c>
      <c r="AO65" s="34">
        <f t="shared" si="0"/>
        <v>0</v>
      </c>
      <c r="AP65" s="34">
        <f t="shared" si="0"/>
        <v>0</v>
      </c>
      <c r="AQ65" s="34">
        <f t="shared" si="0"/>
        <v>340</v>
      </c>
      <c r="AR65" s="34">
        <f t="shared" si="0"/>
        <v>0</v>
      </c>
      <c r="AS65" s="34">
        <f t="shared" si="0"/>
        <v>0</v>
      </c>
    </row>
    <row r="69" spans="1:45" ht="15.75" x14ac:dyDescent="0.25">
      <c r="B69" s="63" t="s">
        <v>291</v>
      </c>
      <c r="C69" s="64" t="s">
        <v>300</v>
      </c>
      <c r="I69" s="65"/>
      <c r="J69" s="65"/>
      <c r="K69" s="65"/>
      <c r="L69" s="65"/>
      <c r="M69" s="65"/>
      <c r="N69" s="65"/>
      <c r="O69" s="65"/>
      <c r="R69" s="66"/>
      <c r="S69" s="66"/>
      <c r="T69" s="66"/>
      <c r="U69" s="66"/>
      <c r="V69" s="66"/>
      <c r="W69" s="66"/>
      <c r="X69" s="66"/>
    </row>
    <row r="70" spans="1:45" ht="15.75" x14ac:dyDescent="0.25">
      <c r="C70"/>
      <c r="K70" s="67" t="s">
        <v>293</v>
      </c>
      <c r="U70" s="64" t="s">
        <v>292</v>
      </c>
    </row>
  </sheetData>
  <mergeCells count="7">
    <mergeCell ref="A10:AS10"/>
    <mergeCell ref="A11:AS11"/>
    <mergeCell ref="A14:A15"/>
    <mergeCell ref="B14:B15"/>
    <mergeCell ref="C14:AS14"/>
    <mergeCell ref="R12:S12"/>
    <mergeCell ref="T12:U12"/>
  </mergeCells>
  <conditionalFormatting sqref="B17:B57">
    <cfRule type="duplicateValues" dxfId="74" priority="789"/>
    <cfRule type="duplicateValues" dxfId="73" priority="790"/>
  </conditionalFormatting>
  <conditionalFormatting sqref="B58:B64">
    <cfRule type="duplicateValues" dxfId="72" priority="788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59999389629810485"/>
    <pageSetUpPr fitToPage="1"/>
  </sheetPr>
  <dimension ref="A10:AS46"/>
  <sheetViews>
    <sheetView view="pageBreakPreview" topLeftCell="A16" zoomScaleSheetLayoutView="100" workbookViewId="0">
      <selection activeCell="B17" sqref="B17:B40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297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R12" s="61" t="s">
        <v>288</v>
      </c>
      <c r="S12" s="112" t="str">
        <f>'Справочник-не смотрим!'!B1</f>
        <v>февраль</v>
      </c>
      <c r="T12" s="112"/>
      <c r="U12" s="112">
        <f>'Справочник-не смотрим!'!B2</f>
        <v>2026</v>
      </c>
      <c r="V12" s="112"/>
      <c r="W12" s="61" t="s">
        <v>289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3" spans="1:45" ht="18.75" customHeight="1" x14ac:dyDescent="0.25"/>
    <row r="14" spans="1:45" ht="30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309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'[2]ЗАЯВКА-не смотрим!'!C4</f>
        <v>бут.</v>
      </c>
      <c r="D16" s="4" t="str">
        <f>'[2]ЗАЯВКА-не смотрим!'!C5</f>
        <v>шт.</v>
      </c>
      <c r="E16" s="4" t="str">
        <f>'[2]ЗАЯВКА-не смотрим!'!C6</f>
        <v>упак.</v>
      </c>
      <c r="F16" s="4" t="str">
        <f>'[2]ЗАЯВКА-не смотрим!'!C7</f>
        <v>упак.</v>
      </c>
      <c r="G16" s="4" t="str">
        <f>'[2]ЗАЯВКА-не смотрим!'!C8</f>
        <v>шт.</v>
      </c>
      <c r="H16" s="4" t="str">
        <f>'[2]ЗАЯВКА-не смотрим!'!C9</f>
        <v>шт.</v>
      </c>
      <c r="I16" s="4" t="str">
        <f>'[2]ЗАЯВКА-не смотрим!'!C10</f>
        <v>шт.</v>
      </c>
      <c r="J16" s="4" t="str">
        <f>'[2]ЗАЯВКА-не смотрим!'!C11</f>
        <v>упак.</v>
      </c>
      <c r="K16" s="4" t="str">
        <f>'[2]ЗАЯВКА-не смотрим!'!C12</f>
        <v>шт.</v>
      </c>
      <c r="L16" s="4" t="str">
        <f>'[2]ЗАЯВКА-не смотрим!'!C13</f>
        <v>шт.</v>
      </c>
      <c r="M16" s="4" t="str">
        <f>'[2]ЗАЯВКА-не смотрим!'!C14</f>
        <v>упак.</v>
      </c>
      <c r="N16" s="4" t="str">
        <f>'[2]ЗАЯВКА-не смотрим!'!C15</f>
        <v>шт.</v>
      </c>
      <c r="O16" s="4" t="str">
        <f>'[2]ЗАЯВКА-не смотрим!'!C16</f>
        <v>шт.</v>
      </c>
      <c r="P16" s="4" t="str">
        <f>'[2]ЗАЯВКА-не смотрим!'!C17</f>
        <v>шт.</v>
      </c>
      <c r="Q16" s="4" t="str">
        <f>'[2]ЗАЯВКА-не смотрим!'!C18</f>
        <v>шт.</v>
      </c>
      <c r="R16" s="4" t="str">
        <f>'[2]ЗАЯВКА-не смотрим!'!C19</f>
        <v>упак.</v>
      </c>
      <c r="S16" s="4" t="str">
        <f>'[2]ЗАЯВКА-не смотрим!'!C20</f>
        <v>упак.</v>
      </c>
      <c r="T16" s="4" t="str">
        <f>'[2]ЗАЯВКА-не смотрим!'!C21</f>
        <v>шт.</v>
      </c>
      <c r="U16" s="4" t="str">
        <f>'[2]ЗАЯВКА-не смотрим!'!C22</f>
        <v>упак.</v>
      </c>
      <c r="V16" s="4" t="str">
        <f>'[2]ЗАЯВКА-не смотрим!'!C23</f>
        <v>упак.</v>
      </c>
      <c r="W16" s="4" t="str">
        <f>'[2]ЗАЯВКА-не смотрим!'!C24</f>
        <v>шт.</v>
      </c>
      <c r="X16" s="4" t="str">
        <f>'[2]ЗАЯВКА-не смотрим!'!C25</f>
        <v>шт.</v>
      </c>
      <c r="Y16" s="4" t="str">
        <f>'[2]ЗАЯВКА-не смотрим!'!C26</f>
        <v>шт.</v>
      </c>
      <c r="Z16" s="4" t="str">
        <f>'[2]ЗАЯВКА-не смотрим!'!C27</f>
        <v>упак.</v>
      </c>
      <c r="AA16" s="4" t="str">
        <f>'[2]ЗАЯВКА-не смотрим!'!C28</f>
        <v>упак.</v>
      </c>
      <c r="AB16" s="4" t="str">
        <f>'[2]ЗАЯВКА-не смотрим!'!C29</f>
        <v>упак.</v>
      </c>
      <c r="AC16" s="4" t="str">
        <f>'[2]ЗАЯВКА-не смотрим!'!C30</f>
        <v>шт.</v>
      </c>
      <c r="AD16" s="4" t="str">
        <f>'[2]ЗАЯВКА-не смотрим!'!C31</f>
        <v>упак.</v>
      </c>
      <c r="AE16" s="4" t="str">
        <f>'[2]ЗАЯВКА-не смотрим!'!C32</f>
        <v>упак.</v>
      </c>
      <c r="AF16" s="4" t="str">
        <f>'[2]ЗАЯВКА-не смотрим!'!C33</f>
        <v>упак.</v>
      </c>
      <c r="AG16" s="4" t="str">
        <f>'[2]ЗАЯВКА-не смотрим!'!C34</f>
        <v>шт.</v>
      </c>
      <c r="AH16" s="4" t="str">
        <f>'[2]ЗАЯВКА-не смотрим!'!C35</f>
        <v>шт.</v>
      </c>
      <c r="AI16" s="4" t="str">
        <f>'[2]ЗАЯВКА-не смотрим!'!C36</f>
        <v>шт.</v>
      </c>
      <c r="AJ16" s="4" t="str">
        <f>'[2]ЗАЯВКА-не смотрим!'!C37</f>
        <v>шт.</v>
      </c>
      <c r="AK16" s="4" t="str">
        <f>'[2]ЗАЯВКА-не смотрим!'!C38</f>
        <v>упак.</v>
      </c>
      <c r="AL16" s="4" t="str">
        <f>'[2]ЗАЯВКА-не смотрим!'!C39</f>
        <v>шт.</v>
      </c>
      <c r="AM16" s="4" t="str">
        <f>'[2]ЗАЯВКА-не смотрим!'!C40</f>
        <v>упак.</v>
      </c>
      <c r="AN16" s="4" t="str">
        <f>'[2]ЗАЯВКА-не смотрим!'!C41</f>
        <v>упак.</v>
      </c>
      <c r="AO16" s="4" t="str">
        <f>'[2]ЗАЯВКА-не смотрим!'!C42</f>
        <v>шт.</v>
      </c>
      <c r="AP16" s="4" t="str">
        <f>'[2]ЗАЯВКА-не смотрим!'!C43</f>
        <v>шт.</v>
      </c>
      <c r="AQ16" s="4" t="str">
        <f>'[2]ЗАЯВКА-не смотрим!'!C44</f>
        <v>пач.</v>
      </c>
      <c r="AR16" s="4" t="str">
        <f>'[2]ЗАЯВКА-не смотрим!'!C45</f>
        <v>шт.</v>
      </c>
      <c r="AS16" s="4" t="str">
        <f>'[2]ЗАЯВКА-не смотрим!'!C46</f>
        <v>шт.</v>
      </c>
    </row>
    <row r="17" spans="1:45" ht="15.75" x14ac:dyDescent="0.25">
      <c r="A17" s="38">
        <v>1</v>
      </c>
      <c r="B17" s="42" t="s">
        <v>257</v>
      </c>
      <c r="C17" s="75">
        <v>2</v>
      </c>
      <c r="D17" s="76">
        <v>1</v>
      </c>
      <c r="E17" s="76">
        <v>1</v>
      </c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>
        <v>1</v>
      </c>
      <c r="N17" s="76"/>
      <c r="O17" s="76">
        <v>1</v>
      </c>
      <c r="P17" s="76">
        <v>1</v>
      </c>
      <c r="Q17" s="76"/>
      <c r="R17" s="76"/>
      <c r="S17" s="76">
        <v>1</v>
      </c>
      <c r="T17" s="76"/>
      <c r="U17" s="76">
        <v>1</v>
      </c>
      <c r="V17" s="49">
        <v>1</v>
      </c>
      <c r="W17" s="49"/>
      <c r="X17" s="49"/>
      <c r="Y17" s="49">
        <v>1</v>
      </c>
      <c r="Z17" s="49"/>
      <c r="AA17" s="49"/>
      <c r="AB17" s="49"/>
      <c r="AC17" s="49">
        <v>1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>
        <v>1</v>
      </c>
      <c r="AO17" s="49"/>
      <c r="AP17" s="49"/>
      <c r="AQ17" s="49">
        <v>20</v>
      </c>
      <c r="AR17" s="49"/>
      <c r="AS17" s="49"/>
    </row>
    <row r="18" spans="1:45" ht="15.75" x14ac:dyDescent="0.25">
      <c r="A18" s="38">
        <v>2</v>
      </c>
      <c r="B18" s="42" t="s">
        <v>258</v>
      </c>
      <c r="C18" s="75">
        <v>2</v>
      </c>
      <c r="D18" s="76">
        <v>1</v>
      </c>
      <c r="E18" s="76">
        <v>1</v>
      </c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>
        <v>1</v>
      </c>
      <c r="N18" s="76"/>
      <c r="O18" s="76">
        <v>1</v>
      </c>
      <c r="P18" s="76">
        <v>1</v>
      </c>
      <c r="Q18" s="76"/>
      <c r="R18" s="76"/>
      <c r="S18" s="76">
        <v>1</v>
      </c>
      <c r="T18" s="76"/>
      <c r="U18" s="76">
        <v>1</v>
      </c>
      <c r="V18" s="49">
        <v>1</v>
      </c>
      <c r="W18" s="49"/>
      <c r="X18" s="49"/>
      <c r="Y18" s="49">
        <v>1</v>
      </c>
      <c r="Z18" s="49"/>
      <c r="AA18" s="49"/>
      <c r="AB18" s="49"/>
      <c r="AC18" s="49">
        <v>1</v>
      </c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>
        <v>1</v>
      </c>
      <c r="AO18" s="49"/>
      <c r="AP18" s="49"/>
      <c r="AQ18" s="49"/>
      <c r="AR18" s="49"/>
      <c r="AS18" s="49"/>
    </row>
    <row r="19" spans="1:45" ht="15.75" x14ac:dyDescent="0.25">
      <c r="A19" s="38">
        <v>3</v>
      </c>
      <c r="B19" s="42" t="s">
        <v>259</v>
      </c>
      <c r="C19" s="75">
        <v>2</v>
      </c>
      <c r="D19" s="76">
        <v>1</v>
      </c>
      <c r="E19" s="76">
        <v>1</v>
      </c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>
        <v>1</v>
      </c>
      <c r="N19" s="76"/>
      <c r="O19" s="76">
        <v>1</v>
      </c>
      <c r="P19" s="76">
        <v>1</v>
      </c>
      <c r="Q19" s="76"/>
      <c r="R19" s="76"/>
      <c r="S19" s="76">
        <v>1</v>
      </c>
      <c r="T19" s="76"/>
      <c r="U19" s="76">
        <v>1</v>
      </c>
      <c r="V19" s="49">
        <v>1</v>
      </c>
      <c r="W19" s="49"/>
      <c r="X19" s="49"/>
      <c r="Y19" s="49">
        <v>1</v>
      </c>
      <c r="Z19" s="49"/>
      <c r="AA19" s="49"/>
      <c r="AB19" s="49"/>
      <c r="AC19" s="49">
        <v>1</v>
      </c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>
        <v>1</v>
      </c>
      <c r="AO19" s="49"/>
      <c r="AP19" s="49"/>
      <c r="AQ19" s="49"/>
      <c r="AR19" s="49"/>
      <c r="AS19" s="49"/>
    </row>
    <row r="20" spans="1:45" ht="15.75" x14ac:dyDescent="0.25">
      <c r="A20" s="38">
        <v>4</v>
      </c>
      <c r="B20" s="42" t="s">
        <v>305</v>
      </c>
      <c r="C20" s="75">
        <v>2</v>
      </c>
      <c r="D20" s="76">
        <v>1</v>
      </c>
      <c r="E20" s="76">
        <v>1</v>
      </c>
      <c r="F20" s="76"/>
      <c r="G20" s="76">
        <v>5</v>
      </c>
      <c r="H20" s="76">
        <v>1</v>
      </c>
      <c r="I20" s="76">
        <v>1</v>
      </c>
      <c r="J20" s="76"/>
      <c r="K20" s="76">
        <v>1</v>
      </c>
      <c r="L20" s="76">
        <v>1</v>
      </c>
      <c r="M20" s="76">
        <v>1</v>
      </c>
      <c r="N20" s="76"/>
      <c r="O20" s="76">
        <v>1</v>
      </c>
      <c r="P20" s="76">
        <v>1</v>
      </c>
      <c r="Q20" s="76"/>
      <c r="R20" s="76"/>
      <c r="S20" s="76">
        <v>1</v>
      </c>
      <c r="T20" s="76"/>
      <c r="U20" s="76">
        <v>1</v>
      </c>
      <c r="V20" s="49">
        <v>1</v>
      </c>
      <c r="W20" s="49"/>
      <c r="X20" s="49"/>
      <c r="Y20" s="49">
        <v>1</v>
      </c>
      <c r="Z20" s="49"/>
      <c r="AA20" s="49"/>
      <c r="AB20" s="49"/>
      <c r="AC20" s="49">
        <v>1</v>
      </c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>
        <v>1</v>
      </c>
      <c r="AO20" s="49"/>
      <c r="AP20" s="49"/>
      <c r="AQ20" s="49"/>
      <c r="AR20" s="49"/>
      <c r="AS20" s="49"/>
    </row>
    <row r="21" spans="1:45" ht="15.75" x14ac:dyDescent="0.25">
      <c r="A21" s="38">
        <v>5</v>
      </c>
      <c r="B21" s="42" t="s">
        <v>260</v>
      </c>
      <c r="C21" s="75">
        <v>2</v>
      </c>
      <c r="D21" s="76">
        <v>1</v>
      </c>
      <c r="E21" s="76">
        <v>1</v>
      </c>
      <c r="F21" s="76"/>
      <c r="G21" s="76">
        <v>5</v>
      </c>
      <c r="H21" s="76">
        <v>1</v>
      </c>
      <c r="I21" s="76">
        <v>1</v>
      </c>
      <c r="J21" s="76"/>
      <c r="K21" s="76">
        <v>1</v>
      </c>
      <c r="L21" s="76">
        <v>1</v>
      </c>
      <c r="M21" s="76">
        <v>1</v>
      </c>
      <c r="N21" s="76"/>
      <c r="O21" s="76">
        <v>1</v>
      </c>
      <c r="P21" s="76">
        <v>1</v>
      </c>
      <c r="Q21" s="76"/>
      <c r="R21" s="76"/>
      <c r="S21" s="76">
        <v>1</v>
      </c>
      <c r="T21" s="76"/>
      <c r="U21" s="76">
        <v>1</v>
      </c>
      <c r="V21" s="49">
        <v>1</v>
      </c>
      <c r="W21" s="49"/>
      <c r="X21" s="49"/>
      <c r="Y21" s="49">
        <v>1</v>
      </c>
      <c r="Z21" s="49"/>
      <c r="AA21" s="49"/>
      <c r="AB21" s="49"/>
      <c r="AC21" s="49">
        <v>1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>
        <v>1</v>
      </c>
      <c r="AO21" s="49"/>
      <c r="AP21" s="49"/>
      <c r="AQ21" s="49"/>
      <c r="AR21" s="49"/>
      <c r="AS21" s="49"/>
    </row>
    <row r="22" spans="1:45" ht="15.75" x14ac:dyDescent="0.25">
      <c r="A22" s="38">
        <v>6</v>
      </c>
      <c r="B22" s="42" t="s">
        <v>270</v>
      </c>
      <c r="C22" s="75">
        <v>2</v>
      </c>
      <c r="D22" s="76">
        <v>1</v>
      </c>
      <c r="E22" s="76">
        <v>1</v>
      </c>
      <c r="F22" s="76"/>
      <c r="G22" s="76">
        <v>5</v>
      </c>
      <c r="H22" s="76">
        <v>1</v>
      </c>
      <c r="I22" s="76">
        <v>1</v>
      </c>
      <c r="J22" s="76"/>
      <c r="K22" s="76">
        <v>1</v>
      </c>
      <c r="L22" s="76">
        <v>1</v>
      </c>
      <c r="M22" s="76">
        <v>1</v>
      </c>
      <c r="N22" s="76"/>
      <c r="O22" s="76">
        <v>1</v>
      </c>
      <c r="P22" s="76">
        <v>1</v>
      </c>
      <c r="Q22" s="76"/>
      <c r="R22" s="76"/>
      <c r="S22" s="76">
        <v>1</v>
      </c>
      <c r="T22" s="76"/>
      <c r="U22" s="76">
        <v>1</v>
      </c>
      <c r="V22" s="49">
        <v>1</v>
      </c>
      <c r="W22" s="49"/>
      <c r="X22" s="49"/>
      <c r="Y22" s="49">
        <v>1</v>
      </c>
      <c r="Z22" s="49"/>
      <c r="AA22" s="49"/>
      <c r="AB22" s="49"/>
      <c r="AC22" s="49">
        <v>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>
        <v>1</v>
      </c>
      <c r="AO22" s="49"/>
      <c r="AP22" s="49"/>
      <c r="AQ22" s="49"/>
      <c r="AR22" s="49"/>
      <c r="AS22" s="49"/>
    </row>
    <row r="23" spans="1:45" ht="15.75" x14ac:dyDescent="0.25">
      <c r="A23" s="38">
        <v>7</v>
      </c>
      <c r="B23" s="42" t="s">
        <v>512</v>
      </c>
      <c r="C23" s="75">
        <v>2</v>
      </c>
      <c r="D23" s="76">
        <v>1</v>
      </c>
      <c r="E23" s="76">
        <v>1</v>
      </c>
      <c r="F23" s="76"/>
      <c r="G23" s="76">
        <v>5</v>
      </c>
      <c r="H23" s="76">
        <v>1</v>
      </c>
      <c r="I23" s="76">
        <v>1</v>
      </c>
      <c r="J23" s="76"/>
      <c r="K23" s="76">
        <v>1</v>
      </c>
      <c r="L23" s="76">
        <v>1</v>
      </c>
      <c r="M23" s="76">
        <v>1</v>
      </c>
      <c r="N23" s="76"/>
      <c r="O23" s="76">
        <v>1</v>
      </c>
      <c r="P23" s="76">
        <v>1</v>
      </c>
      <c r="Q23" s="76"/>
      <c r="R23" s="76"/>
      <c r="S23" s="76">
        <v>1</v>
      </c>
      <c r="T23" s="76"/>
      <c r="U23" s="76">
        <v>1</v>
      </c>
      <c r="V23" s="49">
        <v>1</v>
      </c>
      <c r="W23" s="49"/>
      <c r="X23" s="49"/>
      <c r="Y23" s="49">
        <v>1</v>
      </c>
      <c r="Z23" s="49"/>
      <c r="AA23" s="49"/>
      <c r="AB23" s="49"/>
      <c r="AC23" s="49">
        <v>1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>
        <v>1</v>
      </c>
      <c r="AO23" s="49"/>
      <c r="AP23" s="49"/>
      <c r="AQ23" s="49"/>
      <c r="AR23" s="49"/>
      <c r="AS23" s="49"/>
    </row>
    <row r="24" spans="1:45" ht="15.75" x14ac:dyDescent="0.25">
      <c r="A24" s="38">
        <v>8</v>
      </c>
      <c r="B24" s="42" t="s">
        <v>261</v>
      </c>
      <c r="C24" s="75">
        <v>2</v>
      </c>
      <c r="D24" s="76">
        <v>1</v>
      </c>
      <c r="E24" s="76">
        <v>1</v>
      </c>
      <c r="F24" s="76"/>
      <c r="G24" s="76">
        <v>5</v>
      </c>
      <c r="H24" s="76">
        <v>1</v>
      </c>
      <c r="I24" s="76">
        <v>1</v>
      </c>
      <c r="J24" s="76"/>
      <c r="K24" s="76">
        <v>1</v>
      </c>
      <c r="L24" s="76">
        <v>1</v>
      </c>
      <c r="M24" s="76">
        <v>1</v>
      </c>
      <c r="N24" s="76"/>
      <c r="O24" s="76">
        <v>1</v>
      </c>
      <c r="P24" s="76">
        <v>1</v>
      </c>
      <c r="Q24" s="76"/>
      <c r="R24" s="76"/>
      <c r="S24" s="76">
        <v>1</v>
      </c>
      <c r="T24" s="76"/>
      <c r="U24" s="76">
        <v>1</v>
      </c>
      <c r="V24" s="49">
        <v>1</v>
      </c>
      <c r="W24" s="49"/>
      <c r="X24" s="49"/>
      <c r="Y24" s="49">
        <v>1</v>
      </c>
      <c r="Z24" s="49"/>
      <c r="AA24" s="49"/>
      <c r="AB24" s="49"/>
      <c r="AC24" s="49">
        <v>1</v>
      </c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>
        <v>1</v>
      </c>
      <c r="AO24" s="49"/>
      <c r="AP24" s="49"/>
      <c r="AQ24" s="49">
        <v>20</v>
      </c>
      <c r="AR24" s="49"/>
      <c r="AS24" s="49"/>
    </row>
    <row r="25" spans="1:45" ht="15.75" x14ac:dyDescent="0.25">
      <c r="A25" s="38">
        <v>9</v>
      </c>
      <c r="B25" s="42" t="s">
        <v>262</v>
      </c>
      <c r="C25" s="75">
        <v>2</v>
      </c>
      <c r="D25" s="76">
        <v>1</v>
      </c>
      <c r="E25" s="76">
        <v>1</v>
      </c>
      <c r="F25" s="76"/>
      <c r="G25" s="76">
        <v>5</v>
      </c>
      <c r="H25" s="76">
        <v>1</v>
      </c>
      <c r="I25" s="76">
        <v>1</v>
      </c>
      <c r="J25" s="76"/>
      <c r="K25" s="76">
        <v>1</v>
      </c>
      <c r="L25" s="76">
        <v>1</v>
      </c>
      <c r="M25" s="76">
        <v>1</v>
      </c>
      <c r="N25" s="76"/>
      <c r="O25" s="76">
        <v>1</v>
      </c>
      <c r="P25" s="76">
        <v>1</v>
      </c>
      <c r="Q25" s="76"/>
      <c r="R25" s="76"/>
      <c r="S25" s="76">
        <v>1</v>
      </c>
      <c r="T25" s="76"/>
      <c r="U25" s="76">
        <v>1</v>
      </c>
      <c r="V25" s="49">
        <v>1</v>
      </c>
      <c r="W25" s="49"/>
      <c r="X25" s="49"/>
      <c r="Y25" s="49">
        <v>1</v>
      </c>
      <c r="Z25" s="49"/>
      <c r="AA25" s="49"/>
      <c r="AB25" s="49"/>
      <c r="AC25" s="49">
        <v>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>
        <v>1</v>
      </c>
      <c r="AO25" s="49"/>
      <c r="AP25" s="49"/>
      <c r="AQ25" s="49">
        <v>20</v>
      </c>
      <c r="AR25" s="49"/>
      <c r="AS25" s="49"/>
    </row>
    <row r="26" spans="1:45" ht="15.75" x14ac:dyDescent="0.25">
      <c r="A26" s="38">
        <v>10</v>
      </c>
      <c r="B26" s="42" t="s">
        <v>263</v>
      </c>
      <c r="C26" s="75">
        <v>2</v>
      </c>
      <c r="D26" s="76">
        <v>1</v>
      </c>
      <c r="E26" s="76">
        <v>1</v>
      </c>
      <c r="F26" s="76"/>
      <c r="G26" s="76">
        <v>5</v>
      </c>
      <c r="H26" s="76">
        <v>1</v>
      </c>
      <c r="I26" s="76">
        <v>1</v>
      </c>
      <c r="J26" s="76"/>
      <c r="K26" s="76">
        <v>1</v>
      </c>
      <c r="L26" s="76">
        <v>1</v>
      </c>
      <c r="M26" s="76">
        <v>1</v>
      </c>
      <c r="N26" s="76"/>
      <c r="O26" s="76">
        <v>1</v>
      </c>
      <c r="P26" s="76">
        <v>1</v>
      </c>
      <c r="Q26" s="76"/>
      <c r="R26" s="76"/>
      <c r="S26" s="76">
        <v>1</v>
      </c>
      <c r="T26" s="76"/>
      <c r="U26" s="76">
        <v>1</v>
      </c>
      <c r="V26" s="49">
        <v>1</v>
      </c>
      <c r="W26" s="49"/>
      <c r="X26" s="49"/>
      <c r="Y26" s="49">
        <v>1</v>
      </c>
      <c r="Z26" s="49"/>
      <c r="AA26" s="49"/>
      <c r="AB26" s="49"/>
      <c r="AC26" s="49">
        <v>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>
        <v>1</v>
      </c>
      <c r="AO26" s="49"/>
      <c r="AP26" s="49"/>
      <c r="AQ26" s="49">
        <v>20</v>
      </c>
      <c r="AR26" s="49"/>
      <c r="AS26" s="49"/>
    </row>
    <row r="27" spans="1:45" ht="15.75" x14ac:dyDescent="0.25">
      <c r="A27" s="38">
        <v>11</v>
      </c>
      <c r="B27" s="42" t="s">
        <v>264</v>
      </c>
      <c r="C27" s="75">
        <v>2</v>
      </c>
      <c r="D27" s="76">
        <v>1</v>
      </c>
      <c r="E27" s="76">
        <v>1</v>
      </c>
      <c r="F27" s="76"/>
      <c r="G27" s="76">
        <v>5</v>
      </c>
      <c r="H27" s="76">
        <v>1</v>
      </c>
      <c r="I27" s="76">
        <v>1</v>
      </c>
      <c r="J27" s="76"/>
      <c r="K27" s="76">
        <v>1</v>
      </c>
      <c r="L27" s="76">
        <v>1</v>
      </c>
      <c r="M27" s="76">
        <v>1</v>
      </c>
      <c r="N27" s="76"/>
      <c r="O27" s="76">
        <v>1</v>
      </c>
      <c r="P27" s="76">
        <v>1</v>
      </c>
      <c r="Q27" s="76"/>
      <c r="R27" s="76"/>
      <c r="S27" s="76">
        <v>1</v>
      </c>
      <c r="T27" s="76"/>
      <c r="U27" s="76">
        <v>1</v>
      </c>
      <c r="V27" s="49">
        <v>1</v>
      </c>
      <c r="W27" s="49"/>
      <c r="X27" s="49"/>
      <c r="Y27" s="49">
        <v>1</v>
      </c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>
        <v>1</v>
      </c>
      <c r="AO27" s="49"/>
      <c r="AP27" s="49"/>
      <c r="AQ27" s="49">
        <v>20</v>
      </c>
      <c r="AR27" s="49"/>
      <c r="AS27" s="49"/>
    </row>
    <row r="28" spans="1:45" ht="15.75" x14ac:dyDescent="0.25">
      <c r="A28" s="38">
        <v>12</v>
      </c>
      <c r="B28" s="42" t="s">
        <v>265</v>
      </c>
      <c r="C28" s="75">
        <v>2</v>
      </c>
      <c r="D28" s="76">
        <v>1</v>
      </c>
      <c r="E28" s="76">
        <v>1</v>
      </c>
      <c r="F28" s="76"/>
      <c r="G28" s="76">
        <v>5</v>
      </c>
      <c r="H28" s="76">
        <v>1</v>
      </c>
      <c r="I28" s="76">
        <v>1</v>
      </c>
      <c r="J28" s="76"/>
      <c r="K28" s="76">
        <v>1</v>
      </c>
      <c r="L28" s="76">
        <v>1</v>
      </c>
      <c r="M28" s="76">
        <v>1</v>
      </c>
      <c r="N28" s="76"/>
      <c r="O28" s="76">
        <v>1</v>
      </c>
      <c r="P28" s="76">
        <v>1</v>
      </c>
      <c r="Q28" s="76"/>
      <c r="R28" s="76"/>
      <c r="S28" s="76">
        <v>1</v>
      </c>
      <c r="T28" s="76"/>
      <c r="U28" s="76">
        <v>1</v>
      </c>
      <c r="V28" s="49">
        <v>1</v>
      </c>
      <c r="W28" s="49"/>
      <c r="X28" s="49"/>
      <c r="Y28" s="49">
        <v>1</v>
      </c>
      <c r="Z28" s="49"/>
      <c r="AA28" s="49"/>
      <c r="AB28" s="49"/>
      <c r="AC28" s="49">
        <v>1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>
        <v>1</v>
      </c>
      <c r="AO28" s="49"/>
      <c r="AP28" s="49"/>
      <c r="AQ28" s="49">
        <v>20</v>
      </c>
      <c r="AR28" s="49"/>
      <c r="AS28" s="49"/>
    </row>
    <row r="29" spans="1:45" ht="15.75" x14ac:dyDescent="0.25">
      <c r="A29" s="38">
        <v>13</v>
      </c>
      <c r="B29" s="42" t="s">
        <v>266</v>
      </c>
      <c r="C29" s="75">
        <v>2</v>
      </c>
      <c r="D29" s="76">
        <v>1</v>
      </c>
      <c r="E29" s="76">
        <v>1</v>
      </c>
      <c r="F29" s="76"/>
      <c r="G29" s="76">
        <v>5</v>
      </c>
      <c r="H29" s="76">
        <v>1</v>
      </c>
      <c r="I29" s="76">
        <v>1</v>
      </c>
      <c r="J29" s="76"/>
      <c r="K29" s="76">
        <v>1</v>
      </c>
      <c r="L29" s="76">
        <v>1</v>
      </c>
      <c r="M29" s="76">
        <v>1</v>
      </c>
      <c r="N29" s="76"/>
      <c r="O29" s="76">
        <v>1</v>
      </c>
      <c r="P29" s="76">
        <v>1</v>
      </c>
      <c r="Q29" s="76"/>
      <c r="R29" s="76"/>
      <c r="S29" s="76">
        <v>1</v>
      </c>
      <c r="T29" s="76"/>
      <c r="U29" s="76">
        <v>1</v>
      </c>
      <c r="V29" s="49">
        <v>1</v>
      </c>
      <c r="W29" s="49"/>
      <c r="X29" s="49"/>
      <c r="Y29" s="49">
        <v>1</v>
      </c>
      <c r="Z29" s="49"/>
      <c r="AA29" s="49"/>
      <c r="AB29" s="49"/>
      <c r="AC29" s="49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>
        <v>1</v>
      </c>
      <c r="AO29" s="49"/>
      <c r="AP29" s="49"/>
      <c r="AQ29" s="49">
        <v>30</v>
      </c>
      <c r="AR29" s="49"/>
      <c r="AS29" s="49"/>
    </row>
    <row r="30" spans="1:45" ht="15.75" x14ac:dyDescent="0.25">
      <c r="A30" s="38">
        <v>14</v>
      </c>
      <c r="B30" s="42" t="s">
        <v>356</v>
      </c>
      <c r="C30" s="75">
        <v>2</v>
      </c>
      <c r="D30" s="76">
        <v>1</v>
      </c>
      <c r="E30" s="76">
        <v>1</v>
      </c>
      <c r="F30" s="76"/>
      <c r="G30" s="76">
        <v>5</v>
      </c>
      <c r="H30" s="76">
        <v>1</v>
      </c>
      <c r="I30" s="76">
        <v>1</v>
      </c>
      <c r="J30" s="76"/>
      <c r="K30" s="76">
        <v>1</v>
      </c>
      <c r="L30" s="76">
        <v>1</v>
      </c>
      <c r="M30" s="76">
        <v>1</v>
      </c>
      <c r="N30" s="76"/>
      <c r="O30" s="76">
        <v>1</v>
      </c>
      <c r="P30" s="76">
        <v>1</v>
      </c>
      <c r="Q30" s="76"/>
      <c r="R30" s="76"/>
      <c r="S30" s="76">
        <v>1</v>
      </c>
      <c r="T30" s="76"/>
      <c r="U30" s="76">
        <v>1</v>
      </c>
      <c r="V30" s="49">
        <v>1</v>
      </c>
      <c r="W30" s="49"/>
      <c r="X30" s="49"/>
      <c r="Y30" s="49">
        <v>1</v>
      </c>
      <c r="Z30" s="49"/>
      <c r="AA30" s="49"/>
      <c r="AB30" s="49"/>
      <c r="AC30" s="49">
        <v>1</v>
      </c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>
        <v>1</v>
      </c>
      <c r="AO30" s="49"/>
      <c r="AP30" s="49"/>
      <c r="AQ30" s="49">
        <v>20</v>
      </c>
      <c r="AR30" s="49"/>
      <c r="AS30" s="49"/>
    </row>
    <row r="31" spans="1:45" ht="15.75" x14ac:dyDescent="0.25">
      <c r="A31" s="38">
        <v>15</v>
      </c>
      <c r="B31" s="42" t="s">
        <v>114</v>
      </c>
      <c r="C31" s="75">
        <v>2</v>
      </c>
      <c r="D31" s="76">
        <v>1</v>
      </c>
      <c r="E31" s="76">
        <v>1</v>
      </c>
      <c r="F31" s="76"/>
      <c r="G31" s="76">
        <v>5</v>
      </c>
      <c r="H31" s="76">
        <v>1</v>
      </c>
      <c r="I31" s="76">
        <v>1</v>
      </c>
      <c r="J31" s="76"/>
      <c r="K31" s="76">
        <v>1</v>
      </c>
      <c r="L31" s="76">
        <v>1</v>
      </c>
      <c r="M31" s="76">
        <v>1</v>
      </c>
      <c r="N31" s="76"/>
      <c r="O31" s="76">
        <v>1</v>
      </c>
      <c r="P31" s="76">
        <v>1</v>
      </c>
      <c r="Q31" s="76"/>
      <c r="R31" s="76"/>
      <c r="S31" s="76">
        <v>1</v>
      </c>
      <c r="T31" s="76"/>
      <c r="U31" s="76">
        <v>1</v>
      </c>
      <c r="V31" s="49">
        <v>1</v>
      </c>
      <c r="W31" s="49"/>
      <c r="X31" s="49"/>
      <c r="Y31" s="49">
        <v>1</v>
      </c>
      <c r="Z31" s="49"/>
      <c r="AA31" s="49"/>
      <c r="AB31" s="49"/>
      <c r="AC31" s="49">
        <v>1</v>
      </c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>
        <v>1</v>
      </c>
      <c r="AO31" s="49"/>
      <c r="AP31" s="49"/>
      <c r="AQ31" s="49"/>
      <c r="AR31" s="49"/>
      <c r="AS31" s="49"/>
    </row>
    <row r="32" spans="1:45" ht="15.75" x14ac:dyDescent="0.25">
      <c r="A32" s="38">
        <v>16</v>
      </c>
      <c r="B32" s="42" t="s">
        <v>269</v>
      </c>
      <c r="C32" s="75">
        <v>2</v>
      </c>
      <c r="D32" s="76">
        <v>1</v>
      </c>
      <c r="E32" s="76">
        <v>1</v>
      </c>
      <c r="F32" s="76"/>
      <c r="G32" s="76">
        <v>5</v>
      </c>
      <c r="H32" s="76">
        <v>1</v>
      </c>
      <c r="I32" s="76">
        <v>1</v>
      </c>
      <c r="J32" s="76"/>
      <c r="K32" s="76">
        <v>1</v>
      </c>
      <c r="L32" s="76">
        <v>1</v>
      </c>
      <c r="M32" s="76">
        <v>1</v>
      </c>
      <c r="N32" s="76"/>
      <c r="O32" s="76">
        <v>1</v>
      </c>
      <c r="P32" s="76">
        <v>1</v>
      </c>
      <c r="Q32" s="76"/>
      <c r="R32" s="76"/>
      <c r="S32" s="76">
        <v>1</v>
      </c>
      <c r="T32" s="76"/>
      <c r="U32" s="76">
        <v>1</v>
      </c>
      <c r="V32" s="49">
        <v>1</v>
      </c>
      <c r="W32" s="49"/>
      <c r="X32" s="49"/>
      <c r="Y32" s="49">
        <v>1</v>
      </c>
      <c r="Z32" s="49"/>
      <c r="AA32" s="49"/>
      <c r="AB32" s="49"/>
      <c r="AC32" s="49">
        <v>1</v>
      </c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>
        <v>1</v>
      </c>
      <c r="AO32" s="49"/>
      <c r="AP32" s="49"/>
      <c r="AQ32" s="49"/>
      <c r="AR32" s="49"/>
      <c r="AS32" s="49"/>
    </row>
    <row r="33" spans="1:45" ht="15.75" x14ac:dyDescent="0.25">
      <c r="A33" s="38">
        <v>17</v>
      </c>
      <c r="B33" s="42" t="s">
        <v>348</v>
      </c>
      <c r="C33" s="75">
        <v>2</v>
      </c>
      <c r="D33" s="76">
        <v>1</v>
      </c>
      <c r="E33" s="76">
        <v>1</v>
      </c>
      <c r="F33" s="76"/>
      <c r="G33" s="76">
        <v>5</v>
      </c>
      <c r="H33" s="76">
        <v>1</v>
      </c>
      <c r="I33" s="76">
        <v>1</v>
      </c>
      <c r="J33" s="76"/>
      <c r="K33" s="76">
        <v>1</v>
      </c>
      <c r="L33" s="76">
        <v>1</v>
      </c>
      <c r="M33" s="76">
        <v>1</v>
      </c>
      <c r="N33" s="76"/>
      <c r="O33" s="76">
        <v>1</v>
      </c>
      <c r="P33" s="76">
        <v>1</v>
      </c>
      <c r="Q33" s="76"/>
      <c r="R33" s="76"/>
      <c r="S33" s="76">
        <v>1</v>
      </c>
      <c r="T33" s="76"/>
      <c r="U33" s="76">
        <v>1</v>
      </c>
      <c r="V33" s="49">
        <v>1</v>
      </c>
      <c r="W33" s="49"/>
      <c r="X33" s="49"/>
      <c r="Y33" s="49">
        <v>1</v>
      </c>
      <c r="Z33" s="49"/>
      <c r="AA33" s="49"/>
      <c r="AB33" s="49"/>
      <c r="AC33" s="49">
        <v>1</v>
      </c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>
        <v>1</v>
      </c>
      <c r="AO33" s="49"/>
      <c r="AP33" s="49"/>
      <c r="AQ33" s="49">
        <v>30</v>
      </c>
      <c r="AR33" s="49"/>
      <c r="AS33" s="49"/>
    </row>
    <row r="34" spans="1:45" ht="15.75" x14ac:dyDescent="0.25">
      <c r="A34" s="38">
        <v>18</v>
      </c>
      <c r="B34" s="42" t="s">
        <v>128</v>
      </c>
      <c r="C34" s="75">
        <v>2</v>
      </c>
      <c r="D34" s="76">
        <v>1</v>
      </c>
      <c r="E34" s="76">
        <v>1</v>
      </c>
      <c r="F34" s="76"/>
      <c r="G34" s="76">
        <v>5</v>
      </c>
      <c r="H34" s="76">
        <v>1</v>
      </c>
      <c r="I34" s="76">
        <v>1</v>
      </c>
      <c r="J34" s="76"/>
      <c r="K34" s="76">
        <v>1</v>
      </c>
      <c r="L34" s="76">
        <v>1</v>
      </c>
      <c r="M34" s="76">
        <v>1</v>
      </c>
      <c r="N34" s="76"/>
      <c r="O34" s="76">
        <v>1</v>
      </c>
      <c r="P34" s="76">
        <v>1</v>
      </c>
      <c r="Q34" s="76"/>
      <c r="R34" s="76"/>
      <c r="S34" s="76">
        <v>1</v>
      </c>
      <c r="T34" s="76"/>
      <c r="U34" s="76">
        <v>1</v>
      </c>
      <c r="V34" s="49">
        <v>1</v>
      </c>
      <c r="W34" s="49"/>
      <c r="X34" s="49"/>
      <c r="Y34" s="49">
        <v>1</v>
      </c>
      <c r="Z34" s="49"/>
      <c r="AA34" s="49"/>
      <c r="AB34" s="49"/>
      <c r="AC34" s="49">
        <v>1</v>
      </c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>
        <v>1</v>
      </c>
      <c r="AO34" s="49"/>
      <c r="AP34" s="49"/>
      <c r="AQ34" s="49"/>
      <c r="AR34" s="49"/>
      <c r="AS34" s="49"/>
    </row>
    <row r="35" spans="1:45" ht="15.75" x14ac:dyDescent="0.25">
      <c r="A35" s="38">
        <v>19</v>
      </c>
      <c r="B35" s="42" t="s">
        <v>189</v>
      </c>
      <c r="C35" s="75">
        <v>2</v>
      </c>
      <c r="D35" s="76">
        <v>1</v>
      </c>
      <c r="E35" s="76">
        <v>1</v>
      </c>
      <c r="F35" s="76"/>
      <c r="G35" s="76">
        <v>5</v>
      </c>
      <c r="H35" s="76">
        <v>1</v>
      </c>
      <c r="I35" s="76">
        <v>1</v>
      </c>
      <c r="J35" s="76"/>
      <c r="K35" s="76">
        <v>1</v>
      </c>
      <c r="L35" s="76">
        <v>1</v>
      </c>
      <c r="M35" s="76">
        <v>1</v>
      </c>
      <c r="N35" s="76"/>
      <c r="O35" s="76">
        <v>1</v>
      </c>
      <c r="P35" s="76">
        <v>1</v>
      </c>
      <c r="Q35" s="76"/>
      <c r="R35" s="76"/>
      <c r="S35" s="76">
        <v>1</v>
      </c>
      <c r="T35" s="76"/>
      <c r="U35" s="76">
        <v>1</v>
      </c>
      <c r="V35" s="49">
        <v>1</v>
      </c>
      <c r="W35" s="49"/>
      <c r="X35" s="49"/>
      <c r="Y35" s="49">
        <v>1</v>
      </c>
      <c r="Z35" s="49"/>
      <c r="AA35" s="49"/>
      <c r="AB35" s="49"/>
      <c r="AC35" s="49">
        <v>1</v>
      </c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>
        <v>1</v>
      </c>
      <c r="AO35" s="49"/>
      <c r="AP35" s="49"/>
      <c r="AQ35" s="49">
        <v>30</v>
      </c>
      <c r="AR35" s="49"/>
      <c r="AS35" s="49"/>
    </row>
    <row r="36" spans="1:45" ht="15.75" x14ac:dyDescent="0.25">
      <c r="A36" s="38">
        <v>20</v>
      </c>
      <c r="B36" s="42" t="s">
        <v>376</v>
      </c>
      <c r="C36" s="75">
        <v>2</v>
      </c>
      <c r="D36" s="76">
        <v>1</v>
      </c>
      <c r="E36" s="76">
        <v>1</v>
      </c>
      <c r="F36" s="76"/>
      <c r="G36" s="76">
        <v>5</v>
      </c>
      <c r="H36" s="76">
        <v>1</v>
      </c>
      <c r="I36" s="76">
        <v>1</v>
      </c>
      <c r="J36" s="76"/>
      <c r="K36" s="76">
        <v>1</v>
      </c>
      <c r="L36" s="76">
        <v>1</v>
      </c>
      <c r="M36" s="76">
        <v>1</v>
      </c>
      <c r="N36" s="76"/>
      <c r="O36" s="76">
        <v>1</v>
      </c>
      <c r="P36" s="76">
        <v>1</v>
      </c>
      <c r="Q36" s="76"/>
      <c r="R36" s="76"/>
      <c r="S36" s="76">
        <v>1</v>
      </c>
      <c r="T36" s="76"/>
      <c r="U36" s="76">
        <v>1</v>
      </c>
      <c r="V36" s="49">
        <v>1</v>
      </c>
      <c r="W36" s="49"/>
      <c r="X36" s="49"/>
      <c r="Y36" s="49">
        <v>1</v>
      </c>
      <c r="Z36" s="49"/>
      <c r="AA36" s="49"/>
      <c r="AB36" s="49"/>
      <c r="AC36" s="49">
        <v>1</v>
      </c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>
        <v>1</v>
      </c>
      <c r="AO36" s="49"/>
      <c r="AP36" s="49"/>
      <c r="AQ36" s="49">
        <v>20</v>
      </c>
      <c r="AR36" s="49"/>
      <c r="AS36" s="49"/>
    </row>
    <row r="37" spans="1:45" ht="15.75" x14ac:dyDescent="0.25">
      <c r="A37" s="38">
        <v>21</v>
      </c>
      <c r="B37" s="42" t="s">
        <v>389</v>
      </c>
      <c r="C37" s="75">
        <v>2</v>
      </c>
      <c r="D37" s="76">
        <v>1</v>
      </c>
      <c r="E37" s="76">
        <v>1</v>
      </c>
      <c r="F37" s="76"/>
      <c r="G37" s="76">
        <v>5</v>
      </c>
      <c r="H37" s="76">
        <v>1</v>
      </c>
      <c r="I37" s="76">
        <v>1</v>
      </c>
      <c r="J37" s="76"/>
      <c r="K37" s="76">
        <v>1</v>
      </c>
      <c r="L37" s="76">
        <v>1</v>
      </c>
      <c r="M37" s="76">
        <v>1</v>
      </c>
      <c r="N37" s="76"/>
      <c r="O37" s="76">
        <v>1</v>
      </c>
      <c r="P37" s="76">
        <v>1</v>
      </c>
      <c r="Q37" s="76"/>
      <c r="R37" s="76"/>
      <c r="S37" s="76">
        <v>1</v>
      </c>
      <c r="T37" s="76"/>
      <c r="U37" s="76">
        <v>1</v>
      </c>
      <c r="V37" s="49">
        <v>1</v>
      </c>
      <c r="W37" s="49"/>
      <c r="X37" s="49"/>
      <c r="Y37" s="49">
        <v>1</v>
      </c>
      <c r="Z37" s="49"/>
      <c r="AA37" s="49"/>
      <c r="AB37" s="49"/>
      <c r="AC37" s="49">
        <v>1</v>
      </c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>
        <v>1</v>
      </c>
      <c r="AO37" s="49"/>
      <c r="AP37" s="49"/>
      <c r="AQ37" s="49">
        <v>30</v>
      </c>
      <c r="AR37" s="49"/>
      <c r="AS37" s="49"/>
    </row>
    <row r="38" spans="1:45" ht="15.75" x14ac:dyDescent="0.25">
      <c r="A38" s="38">
        <v>22</v>
      </c>
      <c r="B38" s="42" t="s">
        <v>352</v>
      </c>
      <c r="C38" s="75">
        <v>2</v>
      </c>
      <c r="D38" s="76">
        <v>1</v>
      </c>
      <c r="E38" s="76">
        <v>1</v>
      </c>
      <c r="F38" s="76"/>
      <c r="G38" s="76">
        <v>5</v>
      </c>
      <c r="H38" s="76">
        <v>1</v>
      </c>
      <c r="I38" s="76">
        <v>1</v>
      </c>
      <c r="J38" s="76"/>
      <c r="K38" s="76">
        <v>1</v>
      </c>
      <c r="L38" s="76">
        <v>1</v>
      </c>
      <c r="M38" s="76">
        <v>1</v>
      </c>
      <c r="N38" s="76"/>
      <c r="O38" s="76">
        <v>1</v>
      </c>
      <c r="P38" s="76">
        <v>1</v>
      </c>
      <c r="Q38" s="76"/>
      <c r="R38" s="76"/>
      <c r="S38" s="76">
        <v>1</v>
      </c>
      <c r="T38" s="76"/>
      <c r="U38" s="76">
        <v>1</v>
      </c>
      <c r="V38" s="49">
        <v>1</v>
      </c>
      <c r="W38" s="49"/>
      <c r="X38" s="49"/>
      <c r="Y38" s="49">
        <v>1</v>
      </c>
      <c r="Z38" s="49"/>
      <c r="AA38" s="49"/>
      <c r="AB38" s="49"/>
      <c r="AC38" s="49">
        <v>1</v>
      </c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>
        <v>1</v>
      </c>
      <c r="AO38" s="49"/>
      <c r="AP38" s="49"/>
      <c r="AQ38" s="49"/>
      <c r="AR38" s="49"/>
      <c r="AS38" s="49"/>
    </row>
    <row r="39" spans="1:45" ht="15.75" x14ac:dyDescent="0.25">
      <c r="A39" s="38">
        <v>23</v>
      </c>
      <c r="B39" s="42" t="s">
        <v>482</v>
      </c>
      <c r="C39" s="75">
        <v>2</v>
      </c>
      <c r="D39" s="76">
        <v>1</v>
      </c>
      <c r="E39" s="76">
        <v>1</v>
      </c>
      <c r="F39" s="76"/>
      <c r="G39" s="76">
        <v>5</v>
      </c>
      <c r="H39" s="76">
        <v>1</v>
      </c>
      <c r="I39" s="76">
        <v>1</v>
      </c>
      <c r="J39" s="76"/>
      <c r="K39" s="76">
        <v>1</v>
      </c>
      <c r="L39" s="76">
        <v>1</v>
      </c>
      <c r="M39" s="76">
        <v>1</v>
      </c>
      <c r="N39" s="76"/>
      <c r="O39" s="76">
        <v>1</v>
      </c>
      <c r="P39" s="76">
        <v>1</v>
      </c>
      <c r="Q39" s="76"/>
      <c r="R39" s="76"/>
      <c r="S39" s="76">
        <v>1</v>
      </c>
      <c r="T39" s="76"/>
      <c r="U39" s="76">
        <v>1</v>
      </c>
      <c r="V39" s="49">
        <v>1</v>
      </c>
      <c r="W39" s="49"/>
      <c r="X39" s="49"/>
      <c r="Y39" s="49">
        <v>1</v>
      </c>
      <c r="Z39" s="49"/>
      <c r="AA39" s="49"/>
      <c r="AB39" s="49"/>
      <c r="AC39" s="49">
        <v>1</v>
      </c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>
        <v>1</v>
      </c>
      <c r="AO39" s="49"/>
      <c r="AP39" s="49"/>
      <c r="AQ39" s="49">
        <v>20</v>
      </c>
      <c r="AR39" s="49"/>
      <c r="AS39" s="49"/>
    </row>
    <row r="40" spans="1:45" ht="15.75" x14ac:dyDescent="0.25">
      <c r="A40" s="38">
        <v>24</v>
      </c>
      <c r="B40" s="42" t="s">
        <v>267</v>
      </c>
      <c r="C40" s="75">
        <v>2</v>
      </c>
      <c r="D40" s="76">
        <v>1</v>
      </c>
      <c r="E40" s="76">
        <v>1</v>
      </c>
      <c r="F40" s="76"/>
      <c r="G40" s="76">
        <v>5</v>
      </c>
      <c r="H40" s="76">
        <v>1</v>
      </c>
      <c r="I40" s="76">
        <v>1</v>
      </c>
      <c r="J40" s="76"/>
      <c r="K40" s="76">
        <v>1</v>
      </c>
      <c r="L40" s="76">
        <v>1</v>
      </c>
      <c r="M40" s="76">
        <v>1</v>
      </c>
      <c r="N40" s="76"/>
      <c r="O40" s="76">
        <v>1</v>
      </c>
      <c r="P40" s="76">
        <v>1</v>
      </c>
      <c r="Q40" s="76"/>
      <c r="R40" s="76"/>
      <c r="S40" s="76">
        <v>1</v>
      </c>
      <c r="T40" s="76"/>
      <c r="U40" s="76">
        <v>1</v>
      </c>
      <c r="V40" s="49">
        <v>1</v>
      </c>
      <c r="W40" s="49"/>
      <c r="X40" s="49"/>
      <c r="Y40" s="49">
        <v>1</v>
      </c>
      <c r="Z40" s="49"/>
      <c r="AA40" s="49"/>
      <c r="AB40" s="49"/>
      <c r="AC40" s="49">
        <v>1</v>
      </c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>
        <v>1</v>
      </c>
      <c r="AO40" s="49"/>
      <c r="AP40" s="49"/>
      <c r="AQ40" s="49"/>
      <c r="AR40" s="49"/>
      <c r="AS40" s="49"/>
    </row>
    <row r="41" spans="1:45" ht="18.75" x14ac:dyDescent="0.25">
      <c r="A41" s="25"/>
      <c r="B41" s="48" t="s">
        <v>1</v>
      </c>
      <c r="C41" s="34">
        <f t="shared" ref="C41:AS41" si="0">SUM(C17:C40)</f>
        <v>48</v>
      </c>
      <c r="D41" s="34">
        <f t="shared" si="0"/>
        <v>24</v>
      </c>
      <c r="E41" s="34">
        <f t="shared" si="0"/>
        <v>24</v>
      </c>
      <c r="F41" s="34">
        <f t="shared" si="0"/>
        <v>0</v>
      </c>
      <c r="G41" s="34">
        <f t="shared" si="0"/>
        <v>120</v>
      </c>
      <c r="H41" s="34">
        <f t="shared" si="0"/>
        <v>24</v>
      </c>
      <c r="I41" s="34">
        <f t="shared" si="0"/>
        <v>24</v>
      </c>
      <c r="J41" s="34">
        <f t="shared" si="0"/>
        <v>0</v>
      </c>
      <c r="K41" s="34">
        <f t="shared" si="0"/>
        <v>24</v>
      </c>
      <c r="L41" s="34">
        <f t="shared" si="0"/>
        <v>24</v>
      </c>
      <c r="M41" s="34">
        <f t="shared" si="0"/>
        <v>24</v>
      </c>
      <c r="N41" s="34">
        <f t="shared" si="0"/>
        <v>0</v>
      </c>
      <c r="O41" s="34">
        <f t="shared" si="0"/>
        <v>24</v>
      </c>
      <c r="P41" s="34">
        <f t="shared" si="0"/>
        <v>24</v>
      </c>
      <c r="Q41" s="34">
        <f t="shared" si="0"/>
        <v>0</v>
      </c>
      <c r="R41" s="34">
        <f t="shared" si="0"/>
        <v>0</v>
      </c>
      <c r="S41" s="34">
        <f t="shared" si="0"/>
        <v>24</v>
      </c>
      <c r="T41" s="34">
        <f t="shared" si="0"/>
        <v>0</v>
      </c>
      <c r="U41" s="34">
        <f t="shared" si="0"/>
        <v>24</v>
      </c>
      <c r="V41" s="34">
        <f t="shared" si="0"/>
        <v>24</v>
      </c>
      <c r="W41" s="34">
        <f t="shared" si="0"/>
        <v>0</v>
      </c>
      <c r="X41" s="34">
        <f t="shared" si="0"/>
        <v>0</v>
      </c>
      <c r="Y41" s="34">
        <f t="shared" si="0"/>
        <v>24</v>
      </c>
      <c r="Z41" s="34">
        <f t="shared" si="0"/>
        <v>0</v>
      </c>
      <c r="AA41" s="34">
        <f t="shared" si="0"/>
        <v>0</v>
      </c>
      <c r="AB41" s="34">
        <f t="shared" si="0"/>
        <v>0</v>
      </c>
      <c r="AC41" s="34">
        <f t="shared" si="0"/>
        <v>24</v>
      </c>
      <c r="AD41" s="34">
        <f t="shared" si="0"/>
        <v>0</v>
      </c>
      <c r="AE41" s="34">
        <f t="shared" si="0"/>
        <v>0</v>
      </c>
      <c r="AF41" s="34">
        <f t="shared" si="0"/>
        <v>0</v>
      </c>
      <c r="AG41" s="34">
        <f t="shared" si="0"/>
        <v>0</v>
      </c>
      <c r="AH41" s="34">
        <f t="shared" si="0"/>
        <v>0</v>
      </c>
      <c r="AI41" s="34">
        <f t="shared" si="0"/>
        <v>0</v>
      </c>
      <c r="AJ41" s="34">
        <f t="shared" si="0"/>
        <v>0</v>
      </c>
      <c r="AK41" s="34">
        <f t="shared" si="0"/>
        <v>0</v>
      </c>
      <c r="AL41" s="34">
        <f t="shared" si="0"/>
        <v>0</v>
      </c>
      <c r="AM41" s="34">
        <f t="shared" si="0"/>
        <v>0</v>
      </c>
      <c r="AN41" s="34">
        <f t="shared" si="0"/>
        <v>24</v>
      </c>
      <c r="AO41" s="34">
        <f t="shared" si="0"/>
        <v>0</v>
      </c>
      <c r="AP41" s="34">
        <f t="shared" si="0"/>
        <v>0</v>
      </c>
      <c r="AQ41" s="34">
        <f t="shared" si="0"/>
        <v>300</v>
      </c>
      <c r="AR41" s="34">
        <f t="shared" si="0"/>
        <v>0</v>
      </c>
      <c r="AS41" s="34">
        <f t="shared" si="0"/>
        <v>0</v>
      </c>
    </row>
    <row r="45" spans="1:45" ht="15.75" x14ac:dyDescent="0.25">
      <c r="B45" s="63" t="s">
        <v>291</v>
      </c>
      <c r="C45" s="64" t="s">
        <v>300</v>
      </c>
      <c r="I45" s="65"/>
      <c r="J45" s="65"/>
      <c r="K45" s="65"/>
      <c r="L45" s="65"/>
      <c r="M45" s="65"/>
      <c r="N45" s="65"/>
      <c r="O45" s="65"/>
      <c r="R45" s="66"/>
      <c r="S45" s="66"/>
      <c r="T45" s="66"/>
      <c r="U45" s="66"/>
      <c r="V45" s="66"/>
      <c r="W45" s="66"/>
      <c r="X45" s="66"/>
    </row>
    <row r="46" spans="1:45" ht="15.75" x14ac:dyDescent="0.25">
      <c r="C46"/>
      <c r="K46" s="67" t="s">
        <v>293</v>
      </c>
      <c r="U46" s="64" t="s">
        <v>292</v>
      </c>
    </row>
  </sheetData>
  <mergeCells count="7">
    <mergeCell ref="A10:AS10"/>
    <mergeCell ref="A11:AS11"/>
    <mergeCell ref="A14:A15"/>
    <mergeCell ref="B14:B15"/>
    <mergeCell ref="C14:AS14"/>
    <mergeCell ref="S12:T12"/>
    <mergeCell ref="U12:V12"/>
  </mergeCells>
  <conditionalFormatting sqref="B34:B39">
    <cfRule type="duplicateValues" dxfId="71" priority="834"/>
    <cfRule type="duplicateValues" dxfId="70" priority="835"/>
    <cfRule type="duplicateValues" dxfId="69" priority="836"/>
    <cfRule type="duplicateValues" dxfId="68" priority="837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59999389629810485"/>
    <pageSetUpPr fitToPage="1"/>
  </sheetPr>
  <dimension ref="A10:AS34"/>
  <sheetViews>
    <sheetView view="pageBreakPreview" topLeftCell="A13" zoomScaleSheetLayoutView="100" workbookViewId="0">
      <selection activeCell="B17" sqref="B17:B28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297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 t="s">
        <v>288</v>
      </c>
      <c r="S12" s="112" t="str">
        <f>'Справочник-не смотрим!'!B1</f>
        <v>февраль</v>
      </c>
      <c r="T12" s="112"/>
      <c r="U12" s="112">
        <f>'Справочник-не смотрим!'!B2</f>
        <v>2026</v>
      </c>
      <c r="V12" s="112"/>
      <c r="W12" s="61" t="s">
        <v>289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'[2]ЗАЯВКА-не смотрим!'!C4</f>
        <v>бут.</v>
      </c>
      <c r="D16" s="4" t="str">
        <f>'[2]ЗАЯВКА-не смотрим!'!C5</f>
        <v>шт.</v>
      </c>
      <c r="E16" s="4" t="str">
        <f>'[2]ЗАЯВКА-не смотрим!'!C6</f>
        <v>упак.</v>
      </c>
      <c r="F16" s="4" t="str">
        <f>'[2]ЗАЯВКА-не смотрим!'!C7</f>
        <v>упак.</v>
      </c>
      <c r="G16" s="4" t="str">
        <f>'[2]ЗАЯВКА-не смотрим!'!C8</f>
        <v>шт.</v>
      </c>
      <c r="H16" s="4" t="str">
        <f>'[2]ЗАЯВКА-не смотрим!'!C9</f>
        <v>шт.</v>
      </c>
      <c r="I16" s="4" t="str">
        <f>'[2]ЗАЯВКА-не смотрим!'!C10</f>
        <v>шт.</v>
      </c>
      <c r="J16" s="4" t="str">
        <f>'[2]ЗАЯВКА-не смотрим!'!C11</f>
        <v>упак.</v>
      </c>
      <c r="K16" s="4" t="str">
        <f>'[2]ЗАЯВКА-не смотрим!'!C12</f>
        <v>шт.</v>
      </c>
      <c r="L16" s="4" t="str">
        <f>'[2]ЗАЯВКА-не смотрим!'!C13</f>
        <v>шт.</v>
      </c>
      <c r="M16" s="4" t="str">
        <f>'[2]ЗАЯВКА-не смотрим!'!C14</f>
        <v>упак.</v>
      </c>
      <c r="N16" s="4" t="str">
        <f>'[2]ЗАЯВКА-не смотрим!'!C15</f>
        <v>шт.</v>
      </c>
      <c r="O16" s="4" t="str">
        <f>'[2]ЗАЯВКА-не смотрим!'!C16</f>
        <v>шт.</v>
      </c>
      <c r="P16" s="4" t="str">
        <f>'[2]ЗАЯВКА-не смотрим!'!C17</f>
        <v>шт.</v>
      </c>
      <c r="Q16" s="4" t="str">
        <f>'[2]ЗАЯВКА-не смотрим!'!C18</f>
        <v>шт.</v>
      </c>
      <c r="R16" s="4" t="str">
        <f>'[2]ЗАЯВКА-не смотрим!'!C19</f>
        <v>упак.</v>
      </c>
      <c r="S16" s="4" t="str">
        <f>'[2]ЗАЯВКА-не смотрим!'!C20</f>
        <v>упак.</v>
      </c>
      <c r="T16" s="4" t="str">
        <f>'[2]ЗАЯВКА-не смотрим!'!C21</f>
        <v>шт.</v>
      </c>
      <c r="U16" s="4" t="str">
        <f>'[2]ЗАЯВКА-не смотрим!'!C22</f>
        <v>упак.</v>
      </c>
      <c r="V16" s="4" t="str">
        <f>'[2]ЗАЯВКА-не смотрим!'!C23</f>
        <v>упак.</v>
      </c>
      <c r="W16" s="4" t="str">
        <f>'[2]ЗАЯВКА-не смотрим!'!C24</f>
        <v>шт.</v>
      </c>
      <c r="X16" s="4" t="str">
        <f>'[2]ЗАЯВКА-не смотрим!'!C25</f>
        <v>шт.</v>
      </c>
      <c r="Y16" s="4" t="str">
        <f>'[2]ЗАЯВКА-не смотрим!'!C26</f>
        <v>шт.</v>
      </c>
      <c r="Z16" s="4" t="str">
        <f>'[2]ЗАЯВКА-не смотрим!'!C27</f>
        <v>упак.</v>
      </c>
      <c r="AA16" s="4" t="str">
        <f>'[2]ЗАЯВКА-не смотрим!'!C28</f>
        <v>упак.</v>
      </c>
      <c r="AB16" s="4" t="str">
        <f>'[2]ЗАЯВКА-не смотрим!'!C29</f>
        <v>упак.</v>
      </c>
      <c r="AC16" s="4" t="str">
        <f>'[2]ЗАЯВКА-не смотрим!'!C30</f>
        <v>шт.</v>
      </c>
      <c r="AD16" s="4" t="str">
        <f>'[2]ЗАЯВКА-не смотрим!'!C31</f>
        <v>упак.</v>
      </c>
      <c r="AE16" s="4" t="str">
        <f>'[2]ЗАЯВКА-не смотрим!'!C32</f>
        <v>упак.</v>
      </c>
      <c r="AF16" s="4" t="str">
        <f>'[2]ЗАЯВКА-не смотрим!'!C33</f>
        <v>упак.</v>
      </c>
      <c r="AG16" s="4" t="str">
        <f>'[2]ЗАЯВКА-не смотрим!'!C34</f>
        <v>шт.</v>
      </c>
      <c r="AH16" s="4" t="str">
        <f>'[2]ЗАЯВКА-не смотрим!'!C35</f>
        <v>шт.</v>
      </c>
      <c r="AI16" s="4" t="str">
        <f>'[2]ЗАЯВКА-не смотрим!'!C36</f>
        <v>шт.</v>
      </c>
      <c r="AJ16" s="4" t="str">
        <f>'[2]ЗАЯВКА-не смотрим!'!C37</f>
        <v>шт.</v>
      </c>
      <c r="AK16" s="4" t="str">
        <f>'[2]ЗАЯВКА-не смотрим!'!C38</f>
        <v>упак.</v>
      </c>
      <c r="AL16" s="4" t="str">
        <f>'[2]ЗАЯВКА-не смотрим!'!C39</f>
        <v>шт.</v>
      </c>
      <c r="AM16" s="4" t="str">
        <f>'[2]ЗАЯВКА-не смотрим!'!C40</f>
        <v>упак.</v>
      </c>
      <c r="AN16" s="4" t="str">
        <f>'[2]ЗАЯВКА-не смотрим!'!C41</f>
        <v>упак.</v>
      </c>
      <c r="AO16" s="4" t="str">
        <f>'[2]ЗАЯВКА-не смотрим!'!C42</f>
        <v>шт.</v>
      </c>
      <c r="AP16" s="4" t="str">
        <f>'[2]ЗАЯВКА-не смотрим!'!C43</f>
        <v>шт.</v>
      </c>
      <c r="AQ16" s="4" t="str">
        <f>'[2]ЗАЯВКА-не смотрим!'!C44</f>
        <v>пач.</v>
      </c>
      <c r="AR16" s="4" t="str">
        <f>'[2]ЗАЯВКА-не смотрим!'!C45</f>
        <v>шт.</v>
      </c>
      <c r="AS16" s="4" t="str">
        <f>'[2]ЗАЯВКА-не смотрим!'!C46</f>
        <v>шт.</v>
      </c>
    </row>
    <row r="17" spans="1:45" ht="31.5" x14ac:dyDescent="0.25">
      <c r="A17" s="38">
        <v>1</v>
      </c>
      <c r="B17" s="42" t="s">
        <v>382</v>
      </c>
      <c r="C17" s="75">
        <v>2</v>
      </c>
      <c r="D17" s="76">
        <v>1</v>
      </c>
      <c r="E17" s="76">
        <v>1</v>
      </c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>
        <v>1</v>
      </c>
      <c r="N17" s="76"/>
      <c r="O17" s="76"/>
      <c r="P17" s="76">
        <v>1</v>
      </c>
      <c r="Q17" s="76"/>
      <c r="R17" s="76"/>
      <c r="S17" s="76">
        <v>1</v>
      </c>
      <c r="T17" s="76"/>
      <c r="U17" s="76"/>
      <c r="V17" s="49"/>
      <c r="W17" s="49"/>
      <c r="X17" s="49"/>
      <c r="Y17" s="49">
        <v>1</v>
      </c>
      <c r="Z17" s="49"/>
      <c r="AA17" s="49"/>
      <c r="AB17" s="49"/>
      <c r="AC17" s="49">
        <v>1</v>
      </c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>
        <v>1</v>
      </c>
      <c r="AO17" s="49"/>
      <c r="AP17" s="49"/>
      <c r="AQ17" s="49"/>
      <c r="AR17" s="49"/>
      <c r="AS17" s="49"/>
    </row>
    <row r="18" spans="1:45" ht="15.75" x14ac:dyDescent="0.25">
      <c r="A18" s="38">
        <v>2</v>
      </c>
      <c r="B18" s="42" t="s">
        <v>219</v>
      </c>
      <c r="C18" s="75">
        <v>2</v>
      </c>
      <c r="D18" s="76">
        <v>1</v>
      </c>
      <c r="E18" s="76">
        <v>1</v>
      </c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>
        <v>1</v>
      </c>
      <c r="N18" s="76"/>
      <c r="O18" s="76"/>
      <c r="P18" s="76">
        <v>1</v>
      </c>
      <c r="Q18" s="76"/>
      <c r="R18" s="76"/>
      <c r="S18" s="76">
        <v>1</v>
      </c>
      <c r="T18" s="76"/>
      <c r="U18" s="76"/>
      <c r="V18" s="49"/>
      <c r="W18" s="49"/>
      <c r="X18" s="49"/>
      <c r="Y18" s="49">
        <v>1</v>
      </c>
      <c r="Z18" s="49"/>
      <c r="AA18" s="49"/>
      <c r="AB18" s="49"/>
      <c r="AC18" s="49">
        <v>1</v>
      </c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>
        <v>1</v>
      </c>
      <c r="AO18" s="49"/>
      <c r="AP18" s="49"/>
      <c r="AQ18" s="49">
        <v>10</v>
      </c>
      <c r="AR18" s="98"/>
      <c r="AS18" s="49"/>
    </row>
    <row r="19" spans="1:45" ht="15.75" x14ac:dyDescent="0.25">
      <c r="A19" s="38">
        <v>3</v>
      </c>
      <c r="B19" s="42" t="s">
        <v>344</v>
      </c>
      <c r="C19" s="75">
        <v>2</v>
      </c>
      <c r="D19" s="76">
        <v>1</v>
      </c>
      <c r="E19" s="76">
        <v>1</v>
      </c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>
        <v>1</v>
      </c>
      <c r="N19" s="76"/>
      <c r="O19" s="76"/>
      <c r="P19" s="76">
        <v>1</v>
      </c>
      <c r="Q19" s="76"/>
      <c r="R19" s="76"/>
      <c r="S19" s="76">
        <v>1</v>
      </c>
      <c r="T19" s="76"/>
      <c r="U19" s="76"/>
      <c r="V19" s="49"/>
      <c r="W19" s="49"/>
      <c r="X19" s="49"/>
      <c r="Y19" s="49">
        <v>1</v>
      </c>
      <c r="Z19" s="49"/>
      <c r="AA19" s="49"/>
      <c r="AB19" s="49"/>
      <c r="AC19" s="49">
        <v>1</v>
      </c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>
        <v>1</v>
      </c>
      <c r="AO19" s="49"/>
      <c r="AP19" s="49"/>
      <c r="AQ19" s="49">
        <v>10</v>
      </c>
      <c r="AR19" s="98"/>
      <c r="AS19" s="49"/>
    </row>
    <row r="20" spans="1:45" ht="15.75" x14ac:dyDescent="0.25">
      <c r="A20" s="38">
        <v>4</v>
      </c>
      <c r="B20" s="42" t="s">
        <v>513</v>
      </c>
      <c r="C20" s="75">
        <v>2</v>
      </c>
      <c r="D20" s="76">
        <v>1</v>
      </c>
      <c r="E20" s="76">
        <v>1</v>
      </c>
      <c r="F20" s="76"/>
      <c r="G20" s="76">
        <v>5</v>
      </c>
      <c r="H20" s="76">
        <v>1</v>
      </c>
      <c r="I20" s="76">
        <v>1</v>
      </c>
      <c r="J20" s="76"/>
      <c r="K20" s="76">
        <v>1</v>
      </c>
      <c r="L20" s="76">
        <v>1</v>
      </c>
      <c r="M20" s="76">
        <v>1</v>
      </c>
      <c r="N20" s="76"/>
      <c r="O20" s="76"/>
      <c r="P20" s="76">
        <v>1</v>
      </c>
      <c r="Q20" s="76"/>
      <c r="R20" s="76"/>
      <c r="S20" s="76">
        <v>1</v>
      </c>
      <c r="T20" s="76"/>
      <c r="U20" s="76"/>
      <c r="V20" s="49"/>
      <c r="W20" s="49"/>
      <c r="X20" s="49"/>
      <c r="Y20" s="49">
        <v>1</v>
      </c>
      <c r="Z20" s="49"/>
      <c r="AA20" s="49"/>
      <c r="AB20" s="49"/>
      <c r="AC20" s="49">
        <v>1</v>
      </c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>
        <v>1</v>
      </c>
      <c r="AO20" s="49"/>
      <c r="AP20" s="49"/>
      <c r="AQ20" s="49">
        <v>10</v>
      </c>
      <c r="AR20" s="98"/>
      <c r="AS20" s="49"/>
    </row>
    <row r="21" spans="1:45" ht="15.75" x14ac:dyDescent="0.25">
      <c r="A21" s="38">
        <v>5</v>
      </c>
      <c r="B21" s="42" t="s">
        <v>268</v>
      </c>
      <c r="C21" s="75">
        <v>2</v>
      </c>
      <c r="D21" s="76">
        <v>1</v>
      </c>
      <c r="E21" s="76">
        <v>1</v>
      </c>
      <c r="F21" s="76"/>
      <c r="G21" s="76">
        <v>5</v>
      </c>
      <c r="H21" s="76">
        <v>1</v>
      </c>
      <c r="I21" s="76">
        <v>1</v>
      </c>
      <c r="J21" s="76"/>
      <c r="K21" s="76">
        <v>1</v>
      </c>
      <c r="L21" s="76">
        <v>1</v>
      </c>
      <c r="M21" s="76">
        <v>1</v>
      </c>
      <c r="N21" s="76"/>
      <c r="O21" s="76"/>
      <c r="P21" s="76">
        <v>1</v>
      </c>
      <c r="Q21" s="76"/>
      <c r="R21" s="76"/>
      <c r="S21" s="76">
        <v>1</v>
      </c>
      <c r="T21" s="76"/>
      <c r="U21" s="76"/>
      <c r="V21" s="49"/>
      <c r="W21" s="49"/>
      <c r="X21" s="49"/>
      <c r="Y21" s="49">
        <v>1</v>
      </c>
      <c r="Z21" s="49"/>
      <c r="AA21" s="49"/>
      <c r="AB21" s="49"/>
      <c r="AC21" s="49">
        <v>1</v>
      </c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>
        <v>1</v>
      </c>
      <c r="AO21" s="49"/>
      <c r="AP21" s="49"/>
      <c r="AQ21" s="49">
        <v>10</v>
      </c>
      <c r="AR21" s="98"/>
      <c r="AS21" s="49"/>
    </row>
    <row r="22" spans="1:45" ht="15.75" x14ac:dyDescent="0.25">
      <c r="A22" s="38">
        <v>6</v>
      </c>
      <c r="B22" s="42" t="s">
        <v>390</v>
      </c>
      <c r="C22" s="75">
        <v>2</v>
      </c>
      <c r="D22" s="76">
        <v>1</v>
      </c>
      <c r="E22" s="76">
        <v>1</v>
      </c>
      <c r="F22" s="76"/>
      <c r="G22" s="76">
        <v>5</v>
      </c>
      <c r="H22" s="76">
        <v>1</v>
      </c>
      <c r="I22" s="76">
        <v>1</v>
      </c>
      <c r="J22" s="76"/>
      <c r="K22" s="76">
        <v>1</v>
      </c>
      <c r="L22" s="76">
        <v>1</v>
      </c>
      <c r="M22" s="76">
        <v>1</v>
      </c>
      <c r="N22" s="76"/>
      <c r="O22" s="76"/>
      <c r="P22" s="76">
        <v>1</v>
      </c>
      <c r="Q22" s="76"/>
      <c r="R22" s="76"/>
      <c r="S22" s="76">
        <v>1</v>
      </c>
      <c r="T22" s="76"/>
      <c r="U22" s="76"/>
      <c r="V22" s="49"/>
      <c r="W22" s="49"/>
      <c r="X22" s="49"/>
      <c r="Y22" s="49">
        <v>1</v>
      </c>
      <c r="Z22" s="49"/>
      <c r="AA22" s="49"/>
      <c r="AB22" s="49"/>
      <c r="AC22" s="49">
        <v>1</v>
      </c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>
        <v>1</v>
      </c>
      <c r="AO22" s="49"/>
      <c r="AP22" s="49"/>
      <c r="AQ22" s="49"/>
      <c r="AR22" s="98"/>
      <c r="AS22" s="49"/>
    </row>
    <row r="23" spans="1:45" ht="15.75" x14ac:dyDescent="0.25">
      <c r="A23" s="38">
        <v>7</v>
      </c>
      <c r="B23" s="42" t="s">
        <v>514</v>
      </c>
      <c r="C23" s="75">
        <v>2</v>
      </c>
      <c r="D23" s="76">
        <v>1</v>
      </c>
      <c r="E23" s="76">
        <v>1</v>
      </c>
      <c r="F23" s="76"/>
      <c r="G23" s="76">
        <v>5</v>
      </c>
      <c r="H23" s="76">
        <v>1</v>
      </c>
      <c r="I23" s="76">
        <v>1</v>
      </c>
      <c r="J23" s="76"/>
      <c r="K23" s="76">
        <v>1</v>
      </c>
      <c r="L23" s="76">
        <v>1</v>
      </c>
      <c r="M23" s="76">
        <v>1</v>
      </c>
      <c r="N23" s="76"/>
      <c r="O23" s="76"/>
      <c r="P23" s="76">
        <v>1</v>
      </c>
      <c r="Q23" s="76"/>
      <c r="R23" s="76"/>
      <c r="S23" s="76">
        <v>1</v>
      </c>
      <c r="T23" s="76"/>
      <c r="U23" s="76"/>
      <c r="V23" s="49"/>
      <c r="W23" s="49"/>
      <c r="X23" s="49"/>
      <c r="Y23" s="49">
        <v>1</v>
      </c>
      <c r="Z23" s="49"/>
      <c r="AA23" s="49"/>
      <c r="AB23" s="49"/>
      <c r="AC23" s="49">
        <v>1</v>
      </c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>
        <v>1</v>
      </c>
      <c r="AO23" s="49"/>
      <c r="AP23" s="49"/>
      <c r="AQ23" s="49">
        <v>10</v>
      </c>
      <c r="AR23" s="98"/>
      <c r="AS23" s="49"/>
    </row>
    <row r="24" spans="1:45" ht="15.75" x14ac:dyDescent="0.25">
      <c r="A24" s="38">
        <v>8</v>
      </c>
      <c r="B24" s="42" t="s">
        <v>484</v>
      </c>
      <c r="C24" s="75">
        <v>2</v>
      </c>
      <c r="D24" s="76">
        <v>1</v>
      </c>
      <c r="E24" s="76">
        <v>1</v>
      </c>
      <c r="F24" s="76"/>
      <c r="G24" s="76">
        <v>5</v>
      </c>
      <c r="H24" s="76">
        <v>1</v>
      </c>
      <c r="I24" s="76">
        <v>1</v>
      </c>
      <c r="J24" s="76"/>
      <c r="K24" s="76">
        <v>1</v>
      </c>
      <c r="L24" s="76">
        <v>1</v>
      </c>
      <c r="M24" s="76">
        <v>1</v>
      </c>
      <c r="N24" s="76"/>
      <c r="O24" s="76"/>
      <c r="P24" s="76">
        <v>1</v>
      </c>
      <c r="Q24" s="76"/>
      <c r="R24" s="76"/>
      <c r="S24" s="76">
        <v>1</v>
      </c>
      <c r="T24" s="76"/>
      <c r="U24" s="76"/>
      <c r="V24" s="49"/>
      <c r="W24" s="49"/>
      <c r="X24" s="49"/>
      <c r="Y24" s="49">
        <v>1</v>
      </c>
      <c r="Z24" s="49"/>
      <c r="AA24" s="49"/>
      <c r="AB24" s="49"/>
      <c r="AC24" s="49">
        <v>1</v>
      </c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>
        <v>1</v>
      </c>
      <c r="AO24" s="49"/>
      <c r="AP24" s="49"/>
      <c r="AQ24" s="49"/>
      <c r="AR24" s="98"/>
      <c r="AS24" s="49"/>
    </row>
    <row r="25" spans="1:45" ht="15.75" x14ac:dyDescent="0.25">
      <c r="A25" s="38">
        <v>9</v>
      </c>
      <c r="B25" s="42" t="s">
        <v>483</v>
      </c>
      <c r="C25" s="75">
        <v>2</v>
      </c>
      <c r="D25" s="76">
        <v>1</v>
      </c>
      <c r="E25" s="76">
        <v>1</v>
      </c>
      <c r="F25" s="76"/>
      <c r="G25" s="76">
        <v>5</v>
      </c>
      <c r="H25" s="76">
        <v>1</v>
      </c>
      <c r="I25" s="76">
        <v>1</v>
      </c>
      <c r="J25" s="76"/>
      <c r="K25" s="76">
        <v>1</v>
      </c>
      <c r="L25" s="76">
        <v>1</v>
      </c>
      <c r="M25" s="76">
        <v>1</v>
      </c>
      <c r="N25" s="76"/>
      <c r="O25" s="76"/>
      <c r="P25" s="76">
        <v>1</v>
      </c>
      <c r="Q25" s="76"/>
      <c r="R25" s="76"/>
      <c r="S25" s="76">
        <v>1</v>
      </c>
      <c r="T25" s="76"/>
      <c r="U25" s="76"/>
      <c r="V25" s="49"/>
      <c r="W25" s="49"/>
      <c r="X25" s="49"/>
      <c r="Y25" s="49">
        <v>1</v>
      </c>
      <c r="Z25" s="49"/>
      <c r="AA25" s="49"/>
      <c r="AB25" s="49"/>
      <c r="AC25" s="49">
        <v>1</v>
      </c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>
        <v>1</v>
      </c>
      <c r="AO25" s="49"/>
      <c r="AP25" s="49"/>
      <c r="AQ25" s="49">
        <v>10</v>
      </c>
      <c r="AR25" s="98"/>
      <c r="AS25" s="49"/>
    </row>
    <row r="26" spans="1:45" ht="15.75" x14ac:dyDescent="0.25">
      <c r="A26" s="38">
        <v>10</v>
      </c>
      <c r="B26" s="42" t="s">
        <v>515</v>
      </c>
      <c r="C26" s="75">
        <v>2</v>
      </c>
      <c r="D26" s="76">
        <v>1</v>
      </c>
      <c r="E26" s="76">
        <v>1</v>
      </c>
      <c r="F26" s="76"/>
      <c r="G26" s="76">
        <v>5</v>
      </c>
      <c r="H26" s="76">
        <v>1</v>
      </c>
      <c r="I26" s="76">
        <v>1</v>
      </c>
      <c r="J26" s="76"/>
      <c r="K26" s="76">
        <v>1</v>
      </c>
      <c r="L26" s="76">
        <v>1</v>
      </c>
      <c r="M26" s="76">
        <v>1</v>
      </c>
      <c r="N26" s="76"/>
      <c r="O26" s="76"/>
      <c r="P26" s="76">
        <v>1</v>
      </c>
      <c r="Q26" s="76"/>
      <c r="R26" s="76"/>
      <c r="S26" s="76">
        <v>1</v>
      </c>
      <c r="T26" s="76"/>
      <c r="U26" s="76"/>
      <c r="V26" s="49"/>
      <c r="W26" s="49"/>
      <c r="X26" s="49"/>
      <c r="Y26" s="49">
        <v>1</v>
      </c>
      <c r="Z26" s="49"/>
      <c r="AA26" s="49"/>
      <c r="AB26" s="49"/>
      <c r="AC26" s="49">
        <v>1</v>
      </c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>
        <v>1</v>
      </c>
      <c r="AO26" s="49"/>
      <c r="AP26" s="49"/>
      <c r="AQ26" s="49">
        <v>10</v>
      </c>
      <c r="AR26" s="98"/>
      <c r="AS26" s="49"/>
    </row>
    <row r="27" spans="1:45" ht="15.75" x14ac:dyDescent="0.25">
      <c r="A27" s="38">
        <v>11</v>
      </c>
      <c r="B27" s="42" t="s">
        <v>516</v>
      </c>
      <c r="C27" s="75">
        <v>2</v>
      </c>
      <c r="D27" s="76">
        <v>1</v>
      </c>
      <c r="E27" s="76">
        <v>1</v>
      </c>
      <c r="F27" s="76"/>
      <c r="G27" s="76">
        <v>5</v>
      </c>
      <c r="H27" s="76">
        <v>1</v>
      </c>
      <c r="I27" s="76">
        <v>1</v>
      </c>
      <c r="J27" s="76"/>
      <c r="K27" s="76">
        <v>1</v>
      </c>
      <c r="L27" s="76">
        <v>1</v>
      </c>
      <c r="M27" s="76">
        <v>1</v>
      </c>
      <c r="N27" s="76"/>
      <c r="O27" s="76"/>
      <c r="P27" s="76">
        <v>1</v>
      </c>
      <c r="Q27" s="76"/>
      <c r="R27" s="76"/>
      <c r="S27" s="76">
        <v>1</v>
      </c>
      <c r="T27" s="76"/>
      <c r="U27" s="76"/>
      <c r="V27" s="49"/>
      <c r="W27" s="49"/>
      <c r="X27" s="49"/>
      <c r="Y27" s="49">
        <v>1</v>
      </c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>
        <v>1</v>
      </c>
      <c r="AO27" s="49"/>
      <c r="AP27" s="49"/>
      <c r="AQ27" s="49"/>
      <c r="AR27" s="98"/>
      <c r="AS27" s="49"/>
    </row>
    <row r="28" spans="1:45" ht="15.75" x14ac:dyDescent="0.25">
      <c r="A28" s="38">
        <v>12</v>
      </c>
      <c r="B28" s="42" t="s">
        <v>401</v>
      </c>
      <c r="C28" s="75">
        <v>2</v>
      </c>
      <c r="D28" s="76">
        <v>1</v>
      </c>
      <c r="E28" s="76">
        <v>1</v>
      </c>
      <c r="F28" s="76"/>
      <c r="G28" s="76">
        <v>5</v>
      </c>
      <c r="H28" s="76">
        <v>1</v>
      </c>
      <c r="I28" s="76">
        <v>1</v>
      </c>
      <c r="J28" s="76"/>
      <c r="K28" s="76">
        <v>1</v>
      </c>
      <c r="L28" s="76">
        <v>1</v>
      </c>
      <c r="M28" s="76">
        <v>1</v>
      </c>
      <c r="N28" s="76"/>
      <c r="O28" s="76"/>
      <c r="P28" s="76">
        <v>1</v>
      </c>
      <c r="Q28" s="76"/>
      <c r="R28" s="76"/>
      <c r="S28" s="76">
        <v>1</v>
      </c>
      <c r="T28" s="76"/>
      <c r="U28" s="76"/>
      <c r="V28" s="49"/>
      <c r="W28" s="49"/>
      <c r="X28" s="49"/>
      <c r="Y28" s="49">
        <v>1</v>
      </c>
      <c r="Z28" s="49"/>
      <c r="AA28" s="49"/>
      <c r="AB28" s="49"/>
      <c r="AC28" s="49">
        <v>1</v>
      </c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>
        <v>1</v>
      </c>
      <c r="AO28" s="49"/>
      <c r="AP28" s="49"/>
      <c r="AQ28" s="49"/>
      <c r="AR28" s="98"/>
      <c r="AS28" s="49"/>
    </row>
    <row r="29" spans="1:45" ht="18.75" x14ac:dyDescent="0.25">
      <c r="A29" s="25"/>
      <c r="B29" s="48" t="s">
        <v>1</v>
      </c>
      <c r="C29" s="34">
        <f t="shared" ref="C29:AS29" si="0">SUM(C17:C28)</f>
        <v>24</v>
      </c>
      <c r="D29" s="34">
        <f t="shared" si="0"/>
        <v>12</v>
      </c>
      <c r="E29" s="34">
        <f t="shared" si="0"/>
        <v>12</v>
      </c>
      <c r="F29" s="34">
        <f t="shared" si="0"/>
        <v>0</v>
      </c>
      <c r="G29" s="34">
        <f t="shared" si="0"/>
        <v>60</v>
      </c>
      <c r="H29" s="34">
        <f t="shared" si="0"/>
        <v>12</v>
      </c>
      <c r="I29" s="34">
        <f t="shared" si="0"/>
        <v>12</v>
      </c>
      <c r="J29" s="34">
        <f t="shared" si="0"/>
        <v>0</v>
      </c>
      <c r="K29" s="34">
        <f t="shared" si="0"/>
        <v>12</v>
      </c>
      <c r="L29" s="34">
        <f t="shared" si="0"/>
        <v>12</v>
      </c>
      <c r="M29" s="34">
        <f t="shared" si="0"/>
        <v>12</v>
      </c>
      <c r="N29" s="34">
        <f t="shared" si="0"/>
        <v>0</v>
      </c>
      <c r="O29" s="34">
        <f t="shared" si="0"/>
        <v>0</v>
      </c>
      <c r="P29" s="34">
        <f t="shared" si="0"/>
        <v>12</v>
      </c>
      <c r="Q29" s="34">
        <f t="shared" si="0"/>
        <v>0</v>
      </c>
      <c r="R29" s="34">
        <f t="shared" si="0"/>
        <v>0</v>
      </c>
      <c r="S29" s="34">
        <f t="shared" si="0"/>
        <v>12</v>
      </c>
      <c r="T29" s="34">
        <f t="shared" si="0"/>
        <v>0</v>
      </c>
      <c r="U29" s="34">
        <f t="shared" si="0"/>
        <v>0</v>
      </c>
      <c r="V29" s="34">
        <f t="shared" si="0"/>
        <v>0</v>
      </c>
      <c r="W29" s="34">
        <f t="shared" si="0"/>
        <v>0</v>
      </c>
      <c r="X29" s="34">
        <f t="shared" si="0"/>
        <v>0</v>
      </c>
      <c r="Y29" s="34">
        <f t="shared" si="0"/>
        <v>12</v>
      </c>
      <c r="Z29" s="34">
        <f t="shared" si="0"/>
        <v>0</v>
      </c>
      <c r="AA29" s="34">
        <f t="shared" si="0"/>
        <v>0</v>
      </c>
      <c r="AB29" s="34">
        <f t="shared" si="0"/>
        <v>0</v>
      </c>
      <c r="AC29" s="34">
        <f t="shared" si="0"/>
        <v>12</v>
      </c>
      <c r="AD29" s="34">
        <f t="shared" si="0"/>
        <v>0</v>
      </c>
      <c r="AE29" s="34">
        <f t="shared" si="0"/>
        <v>0</v>
      </c>
      <c r="AF29" s="34">
        <f t="shared" si="0"/>
        <v>0</v>
      </c>
      <c r="AG29" s="34">
        <f t="shared" si="0"/>
        <v>0</v>
      </c>
      <c r="AH29" s="34">
        <f t="shared" si="0"/>
        <v>0</v>
      </c>
      <c r="AI29" s="34">
        <f t="shared" si="0"/>
        <v>0</v>
      </c>
      <c r="AJ29" s="34">
        <f t="shared" si="0"/>
        <v>0</v>
      </c>
      <c r="AK29" s="34">
        <f t="shared" si="0"/>
        <v>0</v>
      </c>
      <c r="AL29" s="34">
        <f t="shared" si="0"/>
        <v>0</v>
      </c>
      <c r="AM29" s="34">
        <f t="shared" si="0"/>
        <v>0</v>
      </c>
      <c r="AN29" s="34">
        <f t="shared" si="0"/>
        <v>12</v>
      </c>
      <c r="AO29" s="34">
        <f t="shared" si="0"/>
        <v>0</v>
      </c>
      <c r="AP29" s="34">
        <f t="shared" si="0"/>
        <v>0</v>
      </c>
      <c r="AQ29" s="34">
        <f t="shared" si="0"/>
        <v>70</v>
      </c>
      <c r="AR29" s="34">
        <f t="shared" si="0"/>
        <v>0</v>
      </c>
      <c r="AS29" s="34">
        <f t="shared" si="0"/>
        <v>0</v>
      </c>
    </row>
    <row r="33" spans="2:24" ht="15.75" x14ac:dyDescent="0.25">
      <c r="B33" s="63" t="s">
        <v>291</v>
      </c>
      <c r="C33" s="64" t="s">
        <v>300</v>
      </c>
      <c r="I33" s="65"/>
      <c r="J33" s="65"/>
      <c r="K33" s="65"/>
      <c r="L33" s="65"/>
      <c r="M33" s="65"/>
      <c r="N33" s="65"/>
      <c r="O33" s="65"/>
      <c r="R33" s="66"/>
      <c r="S33" s="66"/>
      <c r="T33" s="66"/>
      <c r="U33" s="66"/>
      <c r="V33" s="66"/>
      <c r="W33" s="66"/>
      <c r="X33" s="66"/>
    </row>
    <row r="34" spans="2:24" ht="15.75" x14ac:dyDescent="0.25">
      <c r="C34"/>
      <c r="K34" s="67" t="s">
        <v>293</v>
      </c>
      <c r="U34" s="64" t="s">
        <v>292</v>
      </c>
    </row>
  </sheetData>
  <mergeCells count="7">
    <mergeCell ref="A10:AS10"/>
    <mergeCell ref="A11:AS11"/>
    <mergeCell ref="A14:A15"/>
    <mergeCell ref="B14:B15"/>
    <mergeCell ref="C14:AS14"/>
    <mergeCell ref="S12:T12"/>
    <mergeCell ref="U12:V12"/>
  </mergeCells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0.59999389629810485"/>
    <pageSetUpPr fitToPage="1"/>
  </sheetPr>
  <dimension ref="A10:AS26"/>
  <sheetViews>
    <sheetView view="pageBreakPreview" topLeftCell="A10" zoomScaleSheetLayoutView="100" workbookViewId="0">
      <selection activeCell="B17" sqref="B17:B20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297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 t="s">
        <v>288</v>
      </c>
      <c r="S12" s="112" t="str">
        <f>'Справочник-не смотрим!'!B1</f>
        <v>февраль</v>
      </c>
      <c r="T12" s="112"/>
      <c r="U12" s="112">
        <f>'Справочник-не смотрим!'!B2</f>
        <v>2026</v>
      </c>
      <c r="V12" s="112"/>
      <c r="W12" s="61" t="s">
        <v>289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'[2]ЗАЯВКА-не смотрим!'!C4</f>
        <v>бут.</v>
      </c>
      <c r="D16" s="4" t="str">
        <f>'[2]ЗАЯВКА-не смотрим!'!C5</f>
        <v>шт.</v>
      </c>
      <c r="E16" s="4" t="str">
        <f>'[2]ЗАЯВКА-не смотрим!'!C6</f>
        <v>упак.</v>
      </c>
      <c r="F16" s="4" t="str">
        <f>'[2]ЗАЯВКА-не смотрим!'!C7</f>
        <v>упак.</v>
      </c>
      <c r="G16" s="4" t="str">
        <f>'[2]ЗАЯВКА-не смотрим!'!C8</f>
        <v>шт.</v>
      </c>
      <c r="H16" s="4" t="str">
        <f>'[2]ЗАЯВКА-не смотрим!'!C9</f>
        <v>шт.</v>
      </c>
      <c r="I16" s="4" t="str">
        <f>'[2]ЗАЯВКА-не смотрим!'!C10</f>
        <v>шт.</v>
      </c>
      <c r="J16" s="4" t="str">
        <f>'[2]ЗАЯВКА-не смотрим!'!C11</f>
        <v>упак.</v>
      </c>
      <c r="K16" s="4" t="str">
        <f>'[2]ЗАЯВКА-не смотрим!'!C12</f>
        <v>шт.</v>
      </c>
      <c r="L16" s="4" t="str">
        <f>'[2]ЗАЯВКА-не смотрим!'!C13</f>
        <v>шт.</v>
      </c>
      <c r="M16" s="4" t="str">
        <f>'[2]ЗАЯВКА-не смотрим!'!C14</f>
        <v>упак.</v>
      </c>
      <c r="N16" s="4" t="str">
        <f>'[2]ЗАЯВКА-не смотрим!'!C15</f>
        <v>шт.</v>
      </c>
      <c r="O16" s="4" t="str">
        <f>'[2]ЗАЯВКА-не смотрим!'!C16</f>
        <v>шт.</v>
      </c>
      <c r="P16" s="4" t="str">
        <f>'[2]ЗАЯВКА-не смотрим!'!C17</f>
        <v>шт.</v>
      </c>
      <c r="Q16" s="4" t="str">
        <f>'[2]ЗАЯВКА-не смотрим!'!C18</f>
        <v>шт.</v>
      </c>
      <c r="R16" s="4" t="str">
        <f>'[2]ЗАЯВКА-не смотрим!'!C19</f>
        <v>упак.</v>
      </c>
      <c r="S16" s="4" t="str">
        <f>'[2]ЗАЯВКА-не смотрим!'!C20</f>
        <v>упак.</v>
      </c>
      <c r="T16" s="4" t="str">
        <f>'[2]ЗАЯВКА-не смотрим!'!C21</f>
        <v>шт.</v>
      </c>
      <c r="U16" s="4" t="str">
        <f>'[2]ЗАЯВКА-не смотрим!'!C22</f>
        <v>упак.</v>
      </c>
      <c r="V16" s="4" t="str">
        <f>'[2]ЗАЯВКА-не смотрим!'!C23</f>
        <v>упак.</v>
      </c>
      <c r="W16" s="4" t="str">
        <f>'[2]ЗАЯВКА-не смотрим!'!C24</f>
        <v>шт.</v>
      </c>
      <c r="X16" s="4" t="str">
        <f>'[2]ЗАЯВКА-не смотрим!'!C25</f>
        <v>шт.</v>
      </c>
      <c r="Y16" s="4" t="str">
        <f>'[2]ЗАЯВКА-не смотрим!'!C26</f>
        <v>шт.</v>
      </c>
      <c r="Z16" s="4" t="str">
        <f>'[2]ЗАЯВКА-не смотрим!'!C27</f>
        <v>упак.</v>
      </c>
      <c r="AA16" s="4" t="str">
        <f>'[2]ЗАЯВКА-не смотрим!'!C28</f>
        <v>упак.</v>
      </c>
      <c r="AB16" s="4" t="str">
        <f>'[2]ЗАЯВКА-не смотрим!'!C29</f>
        <v>упак.</v>
      </c>
      <c r="AC16" s="4" t="str">
        <f>'[2]ЗАЯВКА-не смотрим!'!C30</f>
        <v>шт.</v>
      </c>
      <c r="AD16" s="4" t="str">
        <f>'[2]ЗАЯВКА-не смотрим!'!C31</f>
        <v>упак.</v>
      </c>
      <c r="AE16" s="4" t="str">
        <f>'[2]ЗАЯВКА-не смотрим!'!C32</f>
        <v>упак.</v>
      </c>
      <c r="AF16" s="4" t="str">
        <f>'[2]ЗАЯВКА-не смотрим!'!C33</f>
        <v>упак.</v>
      </c>
      <c r="AG16" s="4" t="str">
        <f>'[2]ЗАЯВКА-не смотрим!'!C34</f>
        <v>шт.</v>
      </c>
      <c r="AH16" s="4" t="str">
        <f>'[2]ЗАЯВКА-не смотрим!'!C35</f>
        <v>шт.</v>
      </c>
      <c r="AI16" s="4" t="str">
        <f>'[2]ЗАЯВКА-не смотрим!'!C36</f>
        <v>шт.</v>
      </c>
      <c r="AJ16" s="4" t="str">
        <f>'[2]ЗАЯВКА-не смотрим!'!C37</f>
        <v>шт.</v>
      </c>
      <c r="AK16" s="4" t="str">
        <f>'[2]ЗАЯВКА-не смотрим!'!C38</f>
        <v>упак.</v>
      </c>
      <c r="AL16" s="4" t="str">
        <f>'[2]ЗАЯВКА-не смотрим!'!C39</f>
        <v>шт.</v>
      </c>
      <c r="AM16" s="4" t="str">
        <f>'[2]ЗАЯВКА-не смотрим!'!C40</f>
        <v>упак.</v>
      </c>
      <c r="AN16" s="4" t="str">
        <f>'[2]ЗАЯВКА-не смотрим!'!C41</f>
        <v>упак.</v>
      </c>
      <c r="AO16" s="4" t="str">
        <f>'[2]ЗАЯВКА-не смотрим!'!C42</f>
        <v>шт.</v>
      </c>
      <c r="AP16" s="4" t="str">
        <f>'[2]ЗАЯВКА-не смотрим!'!C43</f>
        <v>шт.</v>
      </c>
      <c r="AQ16" s="4" t="str">
        <f>'[2]ЗАЯВКА-не смотрим!'!C44</f>
        <v>пач.</v>
      </c>
      <c r="AR16" s="4" t="str">
        <f>'[2]ЗАЯВКА-не смотрим!'!C45</f>
        <v>шт.</v>
      </c>
      <c r="AS16" s="4" t="str">
        <f>'[2]ЗАЯВКА-не смотрим!'!C46</f>
        <v>шт.</v>
      </c>
    </row>
    <row r="17" spans="1:45" ht="15.75" x14ac:dyDescent="0.25">
      <c r="A17" s="38">
        <v>1</v>
      </c>
      <c r="B17" s="42" t="s">
        <v>271</v>
      </c>
      <c r="C17" s="75">
        <v>2</v>
      </c>
      <c r="D17" s="76">
        <v>1</v>
      </c>
      <c r="E17" s="76">
        <v>1</v>
      </c>
      <c r="F17" s="76"/>
      <c r="G17" s="76">
        <v>5</v>
      </c>
      <c r="H17" s="76">
        <v>1</v>
      </c>
      <c r="I17" s="76">
        <v>1</v>
      </c>
      <c r="J17" s="76"/>
      <c r="K17" s="76">
        <v>1</v>
      </c>
      <c r="L17" s="76">
        <v>1</v>
      </c>
      <c r="M17" s="76"/>
      <c r="N17" s="76"/>
      <c r="O17" s="76"/>
      <c r="P17" s="76"/>
      <c r="Q17" s="76"/>
      <c r="R17" s="76"/>
      <c r="S17" s="76"/>
      <c r="T17" s="76"/>
      <c r="U17" s="76"/>
      <c r="V17" s="49"/>
      <c r="W17" s="49"/>
      <c r="X17" s="49"/>
      <c r="Y17" s="49">
        <v>1</v>
      </c>
      <c r="Z17" s="49">
        <v>1</v>
      </c>
      <c r="AA17" s="49">
        <v>1</v>
      </c>
      <c r="AB17" s="49">
        <v>1</v>
      </c>
      <c r="AC17" s="49">
        <v>1</v>
      </c>
      <c r="AD17" s="49">
        <v>1</v>
      </c>
      <c r="AE17" s="49">
        <v>1</v>
      </c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</row>
    <row r="18" spans="1:45" ht="15.75" x14ac:dyDescent="0.25">
      <c r="A18" s="38">
        <v>2</v>
      </c>
      <c r="B18" s="86" t="s">
        <v>485</v>
      </c>
      <c r="C18" s="75">
        <v>2</v>
      </c>
      <c r="D18" s="76">
        <v>1</v>
      </c>
      <c r="E18" s="76">
        <v>1</v>
      </c>
      <c r="F18" s="76"/>
      <c r="G18" s="76">
        <v>5</v>
      </c>
      <c r="H18" s="76">
        <v>1</v>
      </c>
      <c r="I18" s="76">
        <v>1</v>
      </c>
      <c r="J18" s="76"/>
      <c r="K18" s="76">
        <v>1</v>
      </c>
      <c r="L18" s="76">
        <v>1</v>
      </c>
      <c r="M18" s="76"/>
      <c r="N18" s="76"/>
      <c r="O18" s="76"/>
      <c r="P18" s="76"/>
      <c r="Q18" s="76"/>
      <c r="R18" s="76"/>
      <c r="S18" s="76"/>
      <c r="T18" s="76"/>
      <c r="U18" s="76"/>
      <c r="V18" s="49"/>
      <c r="W18" s="49"/>
      <c r="X18" s="49"/>
      <c r="Y18" s="49">
        <v>1</v>
      </c>
      <c r="Z18" s="49">
        <v>1</v>
      </c>
      <c r="AA18" s="49">
        <v>1</v>
      </c>
      <c r="AB18" s="49">
        <v>1</v>
      </c>
      <c r="AC18" s="49">
        <v>1</v>
      </c>
      <c r="AD18" s="49">
        <v>1</v>
      </c>
      <c r="AE18" s="49">
        <v>1</v>
      </c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</row>
    <row r="19" spans="1:45" ht="15.75" x14ac:dyDescent="0.25">
      <c r="A19" s="38">
        <v>3</v>
      </c>
      <c r="B19" s="86" t="s">
        <v>486</v>
      </c>
      <c r="C19" s="75">
        <v>2</v>
      </c>
      <c r="D19" s="76">
        <v>1</v>
      </c>
      <c r="E19" s="76">
        <v>1</v>
      </c>
      <c r="F19" s="76"/>
      <c r="G19" s="76">
        <v>5</v>
      </c>
      <c r="H19" s="76">
        <v>1</v>
      </c>
      <c r="I19" s="76">
        <v>1</v>
      </c>
      <c r="J19" s="76"/>
      <c r="K19" s="76">
        <v>1</v>
      </c>
      <c r="L19" s="76">
        <v>1</v>
      </c>
      <c r="M19" s="76"/>
      <c r="N19" s="76"/>
      <c r="O19" s="76"/>
      <c r="P19" s="76"/>
      <c r="Q19" s="76"/>
      <c r="R19" s="76"/>
      <c r="S19" s="76"/>
      <c r="T19" s="76"/>
      <c r="U19" s="76"/>
      <c r="V19" s="49"/>
      <c r="W19" s="49"/>
      <c r="X19" s="49"/>
      <c r="Y19" s="49">
        <v>1</v>
      </c>
      <c r="Z19" s="49">
        <v>1</v>
      </c>
      <c r="AA19" s="49">
        <v>1</v>
      </c>
      <c r="AB19" s="49">
        <v>1</v>
      </c>
      <c r="AC19" s="49">
        <v>1</v>
      </c>
      <c r="AD19" s="49">
        <v>1</v>
      </c>
      <c r="AE19" s="49">
        <v>1</v>
      </c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</row>
    <row r="20" spans="1:45" ht="15.75" x14ac:dyDescent="0.25">
      <c r="A20" s="38">
        <v>4</v>
      </c>
      <c r="B20" s="86" t="s">
        <v>272</v>
      </c>
      <c r="C20" s="75">
        <v>2</v>
      </c>
      <c r="D20" s="76">
        <v>1</v>
      </c>
      <c r="E20" s="76">
        <v>1</v>
      </c>
      <c r="F20" s="76"/>
      <c r="G20" s="76">
        <v>5</v>
      </c>
      <c r="H20" s="76">
        <v>1</v>
      </c>
      <c r="I20" s="76">
        <v>1</v>
      </c>
      <c r="J20" s="76"/>
      <c r="K20" s="76">
        <v>1</v>
      </c>
      <c r="L20" s="76">
        <v>1</v>
      </c>
      <c r="M20" s="76"/>
      <c r="N20" s="76"/>
      <c r="O20" s="76"/>
      <c r="P20" s="76"/>
      <c r="Q20" s="76"/>
      <c r="R20" s="76"/>
      <c r="S20" s="76"/>
      <c r="T20" s="76"/>
      <c r="U20" s="76"/>
      <c r="V20" s="49"/>
      <c r="W20" s="49"/>
      <c r="X20" s="49"/>
      <c r="Y20" s="49">
        <v>1</v>
      </c>
      <c r="Z20" s="49">
        <v>1</v>
      </c>
      <c r="AA20" s="49">
        <v>1</v>
      </c>
      <c r="AB20" s="49">
        <v>1</v>
      </c>
      <c r="AC20" s="49">
        <v>1</v>
      </c>
      <c r="AD20" s="49">
        <v>1</v>
      </c>
      <c r="AE20" s="49">
        <v>1</v>
      </c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</row>
    <row r="21" spans="1:45" ht="18.75" x14ac:dyDescent="0.25">
      <c r="A21" s="25"/>
      <c r="B21" s="48" t="s">
        <v>1</v>
      </c>
      <c r="C21" s="34">
        <f>SUM(C17:C20)</f>
        <v>8</v>
      </c>
      <c r="D21" s="34">
        <f t="shared" ref="D21:AS21" si="0">SUM(D17:D20)</f>
        <v>4</v>
      </c>
      <c r="E21" s="34">
        <f t="shared" si="0"/>
        <v>4</v>
      </c>
      <c r="F21" s="34">
        <f t="shared" si="0"/>
        <v>0</v>
      </c>
      <c r="G21" s="34">
        <f t="shared" si="0"/>
        <v>20</v>
      </c>
      <c r="H21" s="34">
        <f t="shared" si="0"/>
        <v>4</v>
      </c>
      <c r="I21" s="34">
        <f t="shared" si="0"/>
        <v>4</v>
      </c>
      <c r="J21" s="34">
        <f t="shared" si="0"/>
        <v>0</v>
      </c>
      <c r="K21" s="34">
        <f t="shared" si="0"/>
        <v>4</v>
      </c>
      <c r="L21" s="34">
        <f t="shared" si="0"/>
        <v>4</v>
      </c>
      <c r="M21" s="34">
        <f t="shared" si="0"/>
        <v>0</v>
      </c>
      <c r="N21" s="34">
        <f t="shared" si="0"/>
        <v>0</v>
      </c>
      <c r="O21" s="34">
        <f t="shared" si="0"/>
        <v>0</v>
      </c>
      <c r="P21" s="34">
        <f t="shared" si="0"/>
        <v>0</v>
      </c>
      <c r="Q21" s="34">
        <f t="shared" si="0"/>
        <v>0</v>
      </c>
      <c r="R21" s="34">
        <f t="shared" si="0"/>
        <v>0</v>
      </c>
      <c r="S21" s="34">
        <f t="shared" si="0"/>
        <v>0</v>
      </c>
      <c r="T21" s="34">
        <f t="shared" si="0"/>
        <v>0</v>
      </c>
      <c r="U21" s="34">
        <f t="shared" si="0"/>
        <v>0</v>
      </c>
      <c r="V21" s="34">
        <f t="shared" si="0"/>
        <v>0</v>
      </c>
      <c r="W21" s="34">
        <f t="shared" si="0"/>
        <v>0</v>
      </c>
      <c r="X21" s="34">
        <f t="shared" si="0"/>
        <v>0</v>
      </c>
      <c r="Y21" s="34">
        <f t="shared" si="0"/>
        <v>4</v>
      </c>
      <c r="Z21" s="34">
        <f t="shared" si="0"/>
        <v>4</v>
      </c>
      <c r="AA21" s="34">
        <f t="shared" si="0"/>
        <v>4</v>
      </c>
      <c r="AB21" s="34">
        <f t="shared" si="0"/>
        <v>4</v>
      </c>
      <c r="AC21" s="34">
        <f t="shared" si="0"/>
        <v>4</v>
      </c>
      <c r="AD21" s="34">
        <f t="shared" si="0"/>
        <v>4</v>
      </c>
      <c r="AE21" s="34">
        <f t="shared" si="0"/>
        <v>4</v>
      </c>
      <c r="AF21" s="34">
        <f t="shared" si="0"/>
        <v>0</v>
      </c>
      <c r="AG21" s="34">
        <f t="shared" si="0"/>
        <v>0</v>
      </c>
      <c r="AH21" s="34">
        <f t="shared" si="0"/>
        <v>0</v>
      </c>
      <c r="AI21" s="34">
        <f t="shared" si="0"/>
        <v>0</v>
      </c>
      <c r="AJ21" s="34">
        <f t="shared" si="0"/>
        <v>0</v>
      </c>
      <c r="AK21" s="34">
        <f t="shared" si="0"/>
        <v>0</v>
      </c>
      <c r="AL21" s="34">
        <f t="shared" si="0"/>
        <v>0</v>
      </c>
      <c r="AM21" s="34">
        <f t="shared" si="0"/>
        <v>0</v>
      </c>
      <c r="AN21" s="34">
        <f t="shared" si="0"/>
        <v>0</v>
      </c>
      <c r="AO21" s="34">
        <f t="shared" si="0"/>
        <v>0</v>
      </c>
      <c r="AP21" s="34">
        <f t="shared" si="0"/>
        <v>0</v>
      </c>
      <c r="AQ21" s="34">
        <f t="shared" si="0"/>
        <v>0</v>
      </c>
      <c r="AR21" s="34">
        <f t="shared" si="0"/>
        <v>0</v>
      </c>
      <c r="AS21" s="34">
        <f t="shared" si="0"/>
        <v>0</v>
      </c>
    </row>
    <row r="25" spans="1:45" ht="15.75" x14ac:dyDescent="0.25">
      <c r="B25" s="63" t="s">
        <v>291</v>
      </c>
      <c r="C25" s="64" t="s">
        <v>300</v>
      </c>
      <c r="I25" s="65"/>
      <c r="J25" s="65"/>
      <c r="K25" s="65"/>
      <c r="L25" s="65"/>
      <c r="M25" s="65"/>
      <c r="N25" s="65"/>
      <c r="O25" s="65"/>
      <c r="R25" s="66"/>
      <c r="S25" s="66"/>
      <c r="T25" s="66"/>
      <c r="U25" s="66"/>
      <c r="V25" s="66"/>
      <c r="W25" s="66"/>
      <c r="X25" s="66"/>
    </row>
    <row r="26" spans="1:45" ht="15.75" x14ac:dyDescent="0.25">
      <c r="C26"/>
      <c r="K26" s="67" t="s">
        <v>293</v>
      </c>
      <c r="U26" s="64" t="s">
        <v>292</v>
      </c>
    </row>
  </sheetData>
  <mergeCells count="7">
    <mergeCell ref="A10:AS10"/>
    <mergeCell ref="A11:AS11"/>
    <mergeCell ref="A14:A15"/>
    <mergeCell ref="B14:B15"/>
    <mergeCell ref="C14:AS14"/>
    <mergeCell ref="S12:T12"/>
    <mergeCell ref="U12:V12"/>
  </mergeCells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pageSetUpPr fitToPage="1"/>
  </sheetPr>
  <dimension ref="A10:AS28"/>
  <sheetViews>
    <sheetView view="pageBreakPreview" topLeftCell="A13" zoomScale="115" zoomScaleSheetLayoutView="115" workbookViewId="0">
      <selection activeCell="B17" sqref="B17:B22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299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 t="s">
        <v>288</v>
      </c>
      <c r="S12" s="112" t="str">
        <f>'Справочник-не смотрим!'!B1</f>
        <v>февраль</v>
      </c>
      <c r="T12" s="112"/>
      <c r="U12" s="112">
        <f>'Справочник-не смотрим!'!B2</f>
        <v>2026</v>
      </c>
      <c r="V12" s="112"/>
      <c r="W12" s="61" t="s">
        <v>289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5.75" x14ac:dyDescent="0.25">
      <c r="A17" s="38">
        <v>1</v>
      </c>
      <c r="B17" s="42" t="s">
        <v>273</v>
      </c>
      <c r="C17" s="75"/>
      <c r="D17" s="76">
        <v>2</v>
      </c>
      <c r="E17" s="76"/>
      <c r="F17" s="76">
        <v>2</v>
      </c>
      <c r="G17" s="76"/>
      <c r="H17" s="76"/>
      <c r="I17" s="76">
        <v>2</v>
      </c>
      <c r="J17" s="76">
        <v>1</v>
      </c>
      <c r="K17" s="76">
        <v>2</v>
      </c>
      <c r="L17" s="76">
        <v>2</v>
      </c>
      <c r="M17" s="76">
        <v>1</v>
      </c>
      <c r="N17" s="76"/>
      <c r="O17" s="76">
        <v>1</v>
      </c>
      <c r="P17" s="76">
        <v>2</v>
      </c>
      <c r="Q17" s="76">
        <v>1</v>
      </c>
      <c r="R17" s="76"/>
      <c r="S17" s="76"/>
      <c r="T17" s="76"/>
      <c r="U17" s="76">
        <v>1</v>
      </c>
      <c r="V17" s="49"/>
      <c r="W17" s="49"/>
      <c r="X17" s="49"/>
      <c r="Y17" s="49">
        <v>1</v>
      </c>
      <c r="Z17" s="49">
        <v>1</v>
      </c>
      <c r="AA17" s="49"/>
      <c r="AB17" s="49"/>
      <c r="AC17" s="49"/>
      <c r="AD17" s="49">
        <v>1</v>
      </c>
      <c r="AE17" s="49"/>
      <c r="AF17" s="49"/>
      <c r="AG17" s="49">
        <v>1</v>
      </c>
      <c r="AH17" s="49"/>
      <c r="AI17" s="49"/>
      <c r="AJ17" s="49"/>
      <c r="AK17" s="49"/>
      <c r="AL17" s="49">
        <v>1</v>
      </c>
      <c r="AM17" s="49"/>
      <c r="AN17" s="49">
        <v>1</v>
      </c>
      <c r="AO17" s="49">
        <v>1</v>
      </c>
      <c r="AP17" s="49"/>
      <c r="AQ17" s="49">
        <v>30</v>
      </c>
      <c r="AR17" s="49"/>
      <c r="AS17" s="49">
        <v>2</v>
      </c>
    </row>
    <row r="18" spans="1:45" ht="15.75" x14ac:dyDescent="0.25">
      <c r="A18" s="38">
        <v>2</v>
      </c>
      <c r="B18" s="42" t="s">
        <v>276</v>
      </c>
      <c r="C18" s="75"/>
      <c r="D18" s="76">
        <v>2</v>
      </c>
      <c r="E18" s="76"/>
      <c r="F18" s="76">
        <v>2</v>
      </c>
      <c r="G18" s="76"/>
      <c r="H18" s="76"/>
      <c r="I18" s="76">
        <v>2</v>
      </c>
      <c r="J18" s="76">
        <v>1</v>
      </c>
      <c r="K18" s="76">
        <v>2</v>
      </c>
      <c r="L18" s="76">
        <v>2</v>
      </c>
      <c r="M18" s="76">
        <v>1</v>
      </c>
      <c r="N18" s="76"/>
      <c r="O18" s="76">
        <v>1</v>
      </c>
      <c r="P18" s="76">
        <v>2</v>
      </c>
      <c r="Q18" s="76">
        <v>1</v>
      </c>
      <c r="R18" s="76"/>
      <c r="S18" s="76"/>
      <c r="T18" s="76"/>
      <c r="U18" s="76">
        <v>1</v>
      </c>
      <c r="V18" s="49"/>
      <c r="W18" s="49"/>
      <c r="X18" s="49"/>
      <c r="Y18" s="49">
        <v>1</v>
      </c>
      <c r="Z18" s="49">
        <v>1</v>
      </c>
      <c r="AA18" s="49"/>
      <c r="AB18" s="49"/>
      <c r="AC18" s="49"/>
      <c r="AD18" s="49">
        <v>1</v>
      </c>
      <c r="AE18" s="49"/>
      <c r="AF18" s="49"/>
      <c r="AG18" s="49">
        <v>1</v>
      </c>
      <c r="AH18" s="49"/>
      <c r="AI18" s="49"/>
      <c r="AJ18" s="49"/>
      <c r="AK18" s="49"/>
      <c r="AL18" s="49">
        <v>1</v>
      </c>
      <c r="AM18" s="49"/>
      <c r="AN18" s="49">
        <v>1</v>
      </c>
      <c r="AO18" s="49">
        <v>1</v>
      </c>
      <c r="AP18" s="49"/>
      <c r="AQ18" s="49">
        <v>30</v>
      </c>
      <c r="AR18" s="49"/>
      <c r="AS18" s="49">
        <v>2</v>
      </c>
    </row>
    <row r="19" spans="1:45" ht="15.75" x14ac:dyDescent="0.25">
      <c r="A19" s="38">
        <v>3</v>
      </c>
      <c r="B19" s="42" t="s">
        <v>277</v>
      </c>
      <c r="C19" s="75"/>
      <c r="D19" s="76">
        <v>2</v>
      </c>
      <c r="E19" s="76"/>
      <c r="F19" s="76">
        <v>2</v>
      </c>
      <c r="G19" s="76"/>
      <c r="H19" s="76"/>
      <c r="I19" s="76">
        <v>2</v>
      </c>
      <c r="J19" s="76">
        <v>1</v>
      </c>
      <c r="K19" s="76">
        <v>2</v>
      </c>
      <c r="L19" s="76">
        <v>2</v>
      </c>
      <c r="M19" s="76">
        <v>1</v>
      </c>
      <c r="N19" s="76"/>
      <c r="O19" s="76">
        <v>1</v>
      </c>
      <c r="P19" s="76">
        <v>2</v>
      </c>
      <c r="Q19" s="76">
        <v>1</v>
      </c>
      <c r="R19" s="76"/>
      <c r="S19" s="76"/>
      <c r="T19" s="76"/>
      <c r="U19" s="76">
        <v>1</v>
      </c>
      <c r="V19" s="49"/>
      <c r="W19" s="49"/>
      <c r="X19" s="49"/>
      <c r="Y19" s="49">
        <v>1</v>
      </c>
      <c r="Z19" s="49">
        <v>1</v>
      </c>
      <c r="AA19" s="49"/>
      <c r="AB19" s="49"/>
      <c r="AC19" s="49"/>
      <c r="AD19" s="49">
        <v>1</v>
      </c>
      <c r="AE19" s="49"/>
      <c r="AF19" s="49"/>
      <c r="AG19" s="49">
        <v>1</v>
      </c>
      <c r="AH19" s="49"/>
      <c r="AI19" s="49"/>
      <c r="AJ19" s="49"/>
      <c r="AK19" s="49"/>
      <c r="AL19" s="49">
        <v>1</v>
      </c>
      <c r="AM19" s="49"/>
      <c r="AN19" s="49">
        <v>1</v>
      </c>
      <c r="AO19" s="49">
        <v>1</v>
      </c>
      <c r="AP19" s="49"/>
      <c r="AQ19" s="49">
        <v>30</v>
      </c>
      <c r="AR19" s="49"/>
      <c r="AS19" s="49">
        <v>2</v>
      </c>
    </row>
    <row r="20" spans="1:45" ht="15.75" x14ac:dyDescent="0.25">
      <c r="A20" s="38">
        <v>4</v>
      </c>
      <c r="B20" s="42" t="s">
        <v>278</v>
      </c>
      <c r="C20" s="75"/>
      <c r="D20" s="76">
        <v>2</v>
      </c>
      <c r="E20" s="76"/>
      <c r="F20" s="76">
        <v>2</v>
      </c>
      <c r="G20" s="76"/>
      <c r="H20" s="76"/>
      <c r="I20" s="76">
        <v>2</v>
      </c>
      <c r="J20" s="76">
        <v>1</v>
      </c>
      <c r="K20" s="76">
        <v>2</v>
      </c>
      <c r="L20" s="76">
        <v>2</v>
      </c>
      <c r="M20" s="76">
        <v>1</v>
      </c>
      <c r="N20" s="76"/>
      <c r="O20" s="76">
        <v>1</v>
      </c>
      <c r="P20" s="76">
        <v>2</v>
      </c>
      <c r="Q20" s="76">
        <v>1</v>
      </c>
      <c r="R20" s="76"/>
      <c r="S20" s="76"/>
      <c r="T20" s="76"/>
      <c r="U20" s="76">
        <v>1</v>
      </c>
      <c r="V20" s="49"/>
      <c r="W20" s="49"/>
      <c r="X20" s="49"/>
      <c r="Y20" s="49">
        <v>1</v>
      </c>
      <c r="Z20" s="49">
        <v>1</v>
      </c>
      <c r="AA20" s="49"/>
      <c r="AB20" s="49"/>
      <c r="AC20" s="49"/>
      <c r="AD20" s="49">
        <v>1</v>
      </c>
      <c r="AE20" s="49"/>
      <c r="AF20" s="49"/>
      <c r="AG20" s="49">
        <v>1</v>
      </c>
      <c r="AH20" s="49"/>
      <c r="AI20" s="49"/>
      <c r="AJ20" s="49"/>
      <c r="AK20" s="49"/>
      <c r="AL20" s="49">
        <v>1</v>
      </c>
      <c r="AM20" s="49"/>
      <c r="AN20" s="49">
        <v>1</v>
      </c>
      <c r="AO20" s="49">
        <v>1</v>
      </c>
      <c r="AP20" s="49"/>
      <c r="AQ20" s="49">
        <v>30</v>
      </c>
      <c r="AR20" s="49"/>
      <c r="AS20" s="49">
        <v>2</v>
      </c>
    </row>
    <row r="21" spans="1:45" ht="15.75" x14ac:dyDescent="0.25">
      <c r="A21" s="38">
        <v>5</v>
      </c>
      <c r="B21" s="42" t="s">
        <v>410</v>
      </c>
      <c r="C21" s="75"/>
      <c r="D21" s="76">
        <v>2</v>
      </c>
      <c r="E21" s="76"/>
      <c r="F21" s="76">
        <v>2</v>
      </c>
      <c r="G21" s="76"/>
      <c r="H21" s="76"/>
      <c r="I21" s="76">
        <v>2</v>
      </c>
      <c r="J21" s="76">
        <v>1</v>
      </c>
      <c r="K21" s="76">
        <v>2</v>
      </c>
      <c r="L21" s="76">
        <v>2</v>
      </c>
      <c r="M21" s="76">
        <v>1</v>
      </c>
      <c r="N21" s="76"/>
      <c r="O21" s="76">
        <v>1</v>
      </c>
      <c r="P21" s="76">
        <v>2</v>
      </c>
      <c r="Q21" s="76">
        <v>1</v>
      </c>
      <c r="R21" s="76"/>
      <c r="S21" s="76"/>
      <c r="T21" s="76"/>
      <c r="U21" s="76">
        <v>1</v>
      </c>
      <c r="V21" s="49"/>
      <c r="W21" s="49"/>
      <c r="X21" s="49"/>
      <c r="Y21" s="49">
        <v>1</v>
      </c>
      <c r="Z21" s="49">
        <v>1</v>
      </c>
      <c r="AA21" s="49"/>
      <c r="AB21" s="49"/>
      <c r="AC21" s="49"/>
      <c r="AD21" s="49">
        <v>1</v>
      </c>
      <c r="AE21" s="49"/>
      <c r="AF21" s="49"/>
      <c r="AG21" s="49">
        <v>1</v>
      </c>
      <c r="AH21" s="49"/>
      <c r="AI21" s="49"/>
      <c r="AJ21" s="49"/>
      <c r="AK21" s="49"/>
      <c r="AL21" s="49">
        <v>1</v>
      </c>
      <c r="AM21" s="49"/>
      <c r="AN21" s="49">
        <v>1</v>
      </c>
      <c r="AO21" s="49">
        <v>1</v>
      </c>
      <c r="AP21" s="49"/>
      <c r="AQ21" s="49"/>
      <c r="AR21" s="49"/>
      <c r="AS21" s="49"/>
    </row>
    <row r="22" spans="1:45" ht="15.75" x14ac:dyDescent="0.25">
      <c r="A22" s="38">
        <v>6</v>
      </c>
      <c r="B22" s="42" t="s">
        <v>279</v>
      </c>
      <c r="C22" s="75"/>
      <c r="D22" s="76">
        <v>2</v>
      </c>
      <c r="E22" s="76"/>
      <c r="F22" s="76">
        <v>2</v>
      </c>
      <c r="G22" s="76"/>
      <c r="H22" s="76"/>
      <c r="I22" s="76">
        <v>2</v>
      </c>
      <c r="J22" s="76">
        <v>1</v>
      </c>
      <c r="K22" s="76">
        <v>2</v>
      </c>
      <c r="L22" s="76">
        <v>2</v>
      </c>
      <c r="M22" s="76">
        <v>1</v>
      </c>
      <c r="N22" s="76"/>
      <c r="O22" s="76">
        <v>1</v>
      </c>
      <c r="P22" s="76">
        <v>2</v>
      </c>
      <c r="Q22" s="76">
        <v>1</v>
      </c>
      <c r="R22" s="76"/>
      <c r="S22" s="76"/>
      <c r="T22" s="76"/>
      <c r="U22" s="76">
        <v>1</v>
      </c>
      <c r="V22" s="49"/>
      <c r="W22" s="49"/>
      <c r="X22" s="49"/>
      <c r="Y22" s="49">
        <v>1</v>
      </c>
      <c r="Z22" s="49">
        <v>1</v>
      </c>
      <c r="AA22" s="49"/>
      <c r="AB22" s="49"/>
      <c r="AC22" s="49"/>
      <c r="AD22" s="49">
        <v>1</v>
      </c>
      <c r="AE22" s="49"/>
      <c r="AF22" s="49"/>
      <c r="AG22" s="49">
        <v>1</v>
      </c>
      <c r="AH22" s="49"/>
      <c r="AI22" s="49"/>
      <c r="AJ22" s="49"/>
      <c r="AK22" s="49"/>
      <c r="AL22" s="49">
        <v>1</v>
      </c>
      <c r="AM22" s="49"/>
      <c r="AN22" s="49">
        <v>1</v>
      </c>
      <c r="AO22" s="49">
        <v>1</v>
      </c>
      <c r="AP22" s="49"/>
      <c r="AQ22" s="49">
        <v>30</v>
      </c>
      <c r="AR22" s="49"/>
      <c r="AS22" s="49">
        <v>2</v>
      </c>
    </row>
    <row r="23" spans="1:45" ht="18.75" x14ac:dyDescent="0.25">
      <c r="A23" s="25"/>
      <c r="B23" s="48" t="s">
        <v>1</v>
      </c>
      <c r="C23" s="34">
        <f t="shared" ref="C23:AS23" si="0">SUM(C17:C22)</f>
        <v>0</v>
      </c>
      <c r="D23" s="34">
        <f t="shared" si="0"/>
        <v>12</v>
      </c>
      <c r="E23" s="34">
        <f t="shared" si="0"/>
        <v>0</v>
      </c>
      <c r="F23" s="34">
        <f t="shared" si="0"/>
        <v>12</v>
      </c>
      <c r="G23" s="34">
        <f t="shared" si="0"/>
        <v>0</v>
      </c>
      <c r="H23" s="34">
        <f t="shared" si="0"/>
        <v>0</v>
      </c>
      <c r="I23" s="34">
        <f t="shared" si="0"/>
        <v>12</v>
      </c>
      <c r="J23" s="34">
        <f t="shared" si="0"/>
        <v>6</v>
      </c>
      <c r="K23" s="34">
        <f t="shared" si="0"/>
        <v>12</v>
      </c>
      <c r="L23" s="34">
        <f t="shared" si="0"/>
        <v>12</v>
      </c>
      <c r="M23" s="34">
        <f t="shared" si="0"/>
        <v>6</v>
      </c>
      <c r="N23" s="34">
        <f t="shared" si="0"/>
        <v>0</v>
      </c>
      <c r="O23" s="34">
        <f t="shared" si="0"/>
        <v>6</v>
      </c>
      <c r="P23" s="34">
        <f t="shared" si="0"/>
        <v>12</v>
      </c>
      <c r="Q23" s="34">
        <f t="shared" si="0"/>
        <v>6</v>
      </c>
      <c r="R23" s="34">
        <f t="shared" si="0"/>
        <v>0</v>
      </c>
      <c r="S23" s="34">
        <f t="shared" si="0"/>
        <v>0</v>
      </c>
      <c r="T23" s="34">
        <f t="shared" si="0"/>
        <v>0</v>
      </c>
      <c r="U23" s="34">
        <f t="shared" si="0"/>
        <v>6</v>
      </c>
      <c r="V23" s="34">
        <f t="shared" si="0"/>
        <v>0</v>
      </c>
      <c r="W23" s="34">
        <f t="shared" si="0"/>
        <v>0</v>
      </c>
      <c r="X23" s="34">
        <f t="shared" si="0"/>
        <v>0</v>
      </c>
      <c r="Y23" s="34">
        <f t="shared" si="0"/>
        <v>6</v>
      </c>
      <c r="Z23" s="34">
        <f t="shared" si="0"/>
        <v>6</v>
      </c>
      <c r="AA23" s="34">
        <f t="shared" si="0"/>
        <v>0</v>
      </c>
      <c r="AB23" s="34">
        <f t="shared" si="0"/>
        <v>0</v>
      </c>
      <c r="AC23" s="34">
        <f t="shared" si="0"/>
        <v>0</v>
      </c>
      <c r="AD23" s="34">
        <f t="shared" si="0"/>
        <v>6</v>
      </c>
      <c r="AE23" s="34">
        <f t="shared" si="0"/>
        <v>0</v>
      </c>
      <c r="AF23" s="34">
        <f t="shared" si="0"/>
        <v>0</v>
      </c>
      <c r="AG23" s="34">
        <f t="shared" si="0"/>
        <v>6</v>
      </c>
      <c r="AH23" s="34">
        <f t="shared" si="0"/>
        <v>0</v>
      </c>
      <c r="AI23" s="34">
        <f t="shared" si="0"/>
        <v>0</v>
      </c>
      <c r="AJ23" s="34">
        <f t="shared" si="0"/>
        <v>0</v>
      </c>
      <c r="AK23" s="34">
        <f t="shared" si="0"/>
        <v>0</v>
      </c>
      <c r="AL23" s="34">
        <f t="shared" si="0"/>
        <v>6</v>
      </c>
      <c r="AM23" s="34">
        <f t="shared" si="0"/>
        <v>0</v>
      </c>
      <c r="AN23" s="34">
        <f t="shared" si="0"/>
        <v>6</v>
      </c>
      <c r="AO23" s="34">
        <f t="shared" si="0"/>
        <v>6</v>
      </c>
      <c r="AP23" s="34">
        <f t="shared" si="0"/>
        <v>0</v>
      </c>
      <c r="AQ23" s="34">
        <f t="shared" si="0"/>
        <v>150</v>
      </c>
      <c r="AR23" s="34">
        <f t="shared" si="0"/>
        <v>0</v>
      </c>
      <c r="AS23" s="34">
        <f t="shared" si="0"/>
        <v>10</v>
      </c>
    </row>
    <row r="27" spans="1:45" ht="15.75" x14ac:dyDescent="0.25">
      <c r="B27" s="63" t="s">
        <v>291</v>
      </c>
      <c r="C27" s="64" t="s">
        <v>300</v>
      </c>
      <c r="I27" s="65"/>
      <c r="J27" s="65"/>
      <c r="K27" s="65"/>
      <c r="L27" s="65"/>
      <c r="M27" s="65"/>
      <c r="N27" s="65"/>
      <c r="O27" s="65"/>
      <c r="R27" s="66"/>
      <c r="S27" s="66"/>
      <c r="T27" s="66"/>
      <c r="U27" s="66"/>
      <c r="V27" s="66"/>
      <c r="W27" s="66"/>
      <c r="X27" s="66"/>
    </row>
    <row r="28" spans="1:45" ht="15.75" x14ac:dyDescent="0.25">
      <c r="C28"/>
      <c r="K28" s="67" t="s">
        <v>293</v>
      </c>
      <c r="U28" s="64" t="s">
        <v>292</v>
      </c>
    </row>
  </sheetData>
  <mergeCells count="7">
    <mergeCell ref="A10:AS10"/>
    <mergeCell ref="A11:AS11"/>
    <mergeCell ref="A14:A15"/>
    <mergeCell ref="B14:B15"/>
    <mergeCell ref="C14:AS14"/>
    <mergeCell ref="S12:T12"/>
    <mergeCell ref="U12:V12"/>
  </mergeCells>
  <conditionalFormatting sqref="B17:B22">
    <cfRule type="duplicateValues" dxfId="67" priority="832"/>
    <cfRule type="duplicateValues" dxfId="66" priority="833"/>
  </conditionalFormatting>
  <printOptions horizontalCentered="1"/>
  <pageMargins left="0.78740157480314965" right="0.39370078740157483" top="0.39370078740157483" bottom="0.39370078740157483" header="0" footer="0"/>
  <pageSetup paperSize="9" scale="35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439"/>
  <sheetViews>
    <sheetView topLeftCell="A427" zoomScaleNormal="100" workbookViewId="0">
      <selection activeCell="A440" sqref="A440"/>
    </sheetView>
  </sheetViews>
  <sheetFormatPr defaultRowHeight="15" x14ac:dyDescent="0.25"/>
  <cols>
    <col min="1" max="1" width="67.85546875" customWidth="1"/>
  </cols>
  <sheetData>
    <row r="1" spans="1:1" ht="15.75" x14ac:dyDescent="0.25">
      <c r="A1" s="72" t="s">
        <v>60</v>
      </c>
    </row>
    <row r="2" spans="1:1" ht="15.75" x14ac:dyDescent="0.25">
      <c r="A2" s="72" t="s">
        <v>61</v>
      </c>
    </row>
    <row r="3" spans="1:1" ht="15.75" x14ac:dyDescent="0.25">
      <c r="A3" s="72" t="s">
        <v>62</v>
      </c>
    </row>
    <row r="4" spans="1:1" ht="15.75" x14ac:dyDescent="0.25">
      <c r="A4" s="72" t="s">
        <v>302</v>
      </c>
    </row>
    <row r="5" spans="1:1" ht="15.75" x14ac:dyDescent="0.25">
      <c r="A5" s="96" t="s">
        <v>330</v>
      </c>
    </row>
    <row r="6" spans="1:1" ht="15.75" x14ac:dyDescent="0.25">
      <c r="A6" s="72" t="s">
        <v>63</v>
      </c>
    </row>
    <row r="7" spans="1:1" ht="15.75" x14ac:dyDescent="0.25">
      <c r="A7" s="72" t="s">
        <v>329</v>
      </c>
    </row>
    <row r="8" spans="1:1" ht="15.75" x14ac:dyDescent="0.25">
      <c r="A8" s="72" t="s">
        <v>65</v>
      </c>
    </row>
    <row r="9" spans="1:1" ht="15.75" x14ac:dyDescent="0.25">
      <c r="A9" s="72" t="s">
        <v>303</v>
      </c>
    </row>
    <row r="10" spans="1:1" ht="15.75" x14ac:dyDescent="0.25">
      <c r="A10" s="72" t="s">
        <v>66</v>
      </c>
    </row>
    <row r="11" spans="1:1" ht="15.75" x14ac:dyDescent="0.25">
      <c r="A11" s="72" t="s">
        <v>67</v>
      </c>
    </row>
    <row r="12" spans="1:1" ht="15.75" x14ac:dyDescent="0.25">
      <c r="A12" s="72" t="s">
        <v>69</v>
      </c>
    </row>
    <row r="13" spans="1:1" ht="15.75" x14ac:dyDescent="0.25">
      <c r="A13" s="72" t="s">
        <v>70</v>
      </c>
    </row>
    <row r="14" spans="1:1" ht="15.75" x14ac:dyDescent="0.25">
      <c r="A14" s="72" t="s">
        <v>72</v>
      </c>
    </row>
    <row r="15" spans="1:1" ht="15.75" x14ac:dyDescent="0.25">
      <c r="A15" s="72" t="s">
        <v>73</v>
      </c>
    </row>
    <row r="16" spans="1:1" ht="15.75" x14ac:dyDescent="0.25">
      <c r="A16" s="72" t="s">
        <v>76</v>
      </c>
    </row>
    <row r="17" spans="1:1" ht="15.75" x14ac:dyDescent="0.25">
      <c r="A17" s="72" t="s">
        <v>77</v>
      </c>
    </row>
    <row r="18" spans="1:1" ht="15.75" x14ac:dyDescent="0.25">
      <c r="A18" s="73" t="s">
        <v>78</v>
      </c>
    </row>
    <row r="19" spans="1:1" ht="15.75" x14ac:dyDescent="0.25">
      <c r="A19" s="73" t="s">
        <v>79</v>
      </c>
    </row>
    <row r="20" spans="1:1" ht="15.75" x14ac:dyDescent="0.25">
      <c r="A20" s="73" t="s">
        <v>80</v>
      </c>
    </row>
    <row r="21" spans="1:1" ht="15.75" x14ac:dyDescent="0.25">
      <c r="A21" s="72" t="s">
        <v>81</v>
      </c>
    </row>
    <row r="22" spans="1:1" ht="15.75" x14ac:dyDescent="0.25">
      <c r="A22" s="72" t="s">
        <v>82</v>
      </c>
    </row>
    <row r="23" spans="1:1" ht="15.75" x14ac:dyDescent="0.25">
      <c r="A23" s="72" t="s">
        <v>83</v>
      </c>
    </row>
    <row r="24" spans="1:1" ht="15.75" x14ac:dyDescent="0.25">
      <c r="A24" s="72" t="s">
        <v>84</v>
      </c>
    </row>
    <row r="25" spans="1:1" ht="15.75" x14ac:dyDescent="0.25">
      <c r="A25" s="72" t="s">
        <v>85</v>
      </c>
    </row>
    <row r="26" spans="1:1" ht="15.75" x14ac:dyDescent="0.25">
      <c r="A26" s="73" t="s">
        <v>86</v>
      </c>
    </row>
    <row r="27" spans="1:1" ht="15.75" x14ac:dyDescent="0.25">
      <c r="A27" s="72" t="s">
        <v>87</v>
      </c>
    </row>
    <row r="28" spans="1:1" ht="15.75" x14ac:dyDescent="0.25">
      <c r="A28" s="72" t="s">
        <v>88</v>
      </c>
    </row>
    <row r="29" spans="1:1" ht="15.75" x14ac:dyDescent="0.25">
      <c r="A29" s="72" t="s">
        <v>89</v>
      </c>
    </row>
    <row r="30" spans="1:1" ht="15.75" x14ac:dyDescent="0.25">
      <c r="A30" s="72" t="s">
        <v>90</v>
      </c>
    </row>
    <row r="31" spans="1:1" ht="15.75" x14ac:dyDescent="0.25">
      <c r="A31" s="42" t="s">
        <v>280</v>
      </c>
    </row>
    <row r="32" spans="1:1" ht="15.75" x14ac:dyDescent="0.25">
      <c r="A32" s="86" t="s">
        <v>274</v>
      </c>
    </row>
    <row r="33" spans="1:1" ht="15.75" x14ac:dyDescent="0.25">
      <c r="A33" s="86" t="s">
        <v>64</v>
      </c>
    </row>
    <row r="34" spans="1:1" ht="15.75" x14ac:dyDescent="0.25">
      <c r="A34" s="41" t="s">
        <v>375</v>
      </c>
    </row>
    <row r="35" spans="1:1" ht="15.75" x14ac:dyDescent="0.25">
      <c r="A35" s="41" t="s">
        <v>75</v>
      </c>
    </row>
    <row r="36" spans="1:1" ht="15.75" x14ac:dyDescent="0.25">
      <c r="A36" s="41" t="s">
        <v>387</v>
      </c>
    </row>
    <row r="37" spans="1:1" ht="15.75" x14ac:dyDescent="0.25">
      <c r="A37" s="41" t="s">
        <v>409</v>
      </c>
    </row>
    <row r="38" spans="1:1" ht="15.75" x14ac:dyDescent="0.25">
      <c r="A38" s="41" t="s">
        <v>275</v>
      </c>
    </row>
    <row r="39" spans="1:1" ht="15.75" x14ac:dyDescent="0.25">
      <c r="A39" s="72" t="s">
        <v>91</v>
      </c>
    </row>
    <row r="40" spans="1:1" ht="15.75" x14ac:dyDescent="0.25">
      <c r="A40" s="41" t="s">
        <v>459</v>
      </c>
    </row>
    <row r="41" spans="1:1" ht="15.75" x14ac:dyDescent="0.25">
      <c r="A41" s="41" t="s">
        <v>74</v>
      </c>
    </row>
    <row r="42" spans="1:1" ht="15.75" x14ac:dyDescent="0.25">
      <c r="A42" s="41" t="s">
        <v>350</v>
      </c>
    </row>
    <row r="43" spans="1:1" ht="15.75" x14ac:dyDescent="0.25">
      <c r="A43" s="72" t="s">
        <v>71</v>
      </c>
    </row>
    <row r="44" spans="1:1" ht="15.75" x14ac:dyDescent="0.25">
      <c r="A44" s="72" t="s">
        <v>68</v>
      </c>
    </row>
    <row r="45" spans="1:1" ht="15.75" x14ac:dyDescent="0.25">
      <c r="A45" s="72" t="s">
        <v>441</v>
      </c>
    </row>
    <row r="46" spans="1:1" ht="15.75" x14ac:dyDescent="0.25">
      <c r="A46" s="72" t="s">
        <v>408</v>
      </c>
    </row>
    <row r="47" spans="1:1" ht="15.75" x14ac:dyDescent="0.25">
      <c r="A47" s="72" t="s">
        <v>460</v>
      </c>
    </row>
    <row r="48" spans="1:1" ht="15.75" x14ac:dyDescent="0.25">
      <c r="A48" s="72" t="s">
        <v>461</v>
      </c>
    </row>
    <row r="49" spans="1:1" ht="15.75" x14ac:dyDescent="0.25">
      <c r="A49" s="72" t="s">
        <v>462</v>
      </c>
    </row>
    <row r="50" spans="1:1" ht="15.75" x14ac:dyDescent="0.25">
      <c r="A50" s="72" t="s">
        <v>463</v>
      </c>
    </row>
    <row r="51" spans="1:1" ht="15.75" x14ac:dyDescent="0.25">
      <c r="A51" s="72" t="s">
        <v>464</v>
      </c>
    </row>
    <row r="52" spans="1:1" ht="15.75" x14ac:dyDescent="0.25">
      <c r="A52" s="72" t="s">
        <v>465</v>
      </c>
    </row>
    <row r="53" spans="1:1" ht="15.75" x14ac:dyDescent="0.25">
      <c r="A53" s="72" t="s">
        <v>466</v>
      </c>
    </row>
    <row r="54" spans="1:1" ht="15.75" x14ac:dyDescent="0.25">
      <c r="A54" s="72" t="s">
        <v>467</v>
      </c>
    </row>
    <row r="55" spans="1:1" ht="15.75" x14ac:dyDescent="0.25">
      <c r="A55" s="72" t="s">
        <v>468</v>
      </c>
    </row>
    <row r="56" spans="1:1" ht="15.75" x14ac:dyDescent="0.25">
      <c r="A56" s="72" t="s">
        <v>469</v>
      </c>
    </row>
    <row r="57" spans="1:1" ht="15.75" x14ac:dyDescent="0.25">
      <c r="A57" s="72" t="s">
        <v>470</v>
      </c>
    </row>
    <row r="58" spans="1:1" ht="15.75" x14ac:dyDescent="0.25">
      <c r="A58" s="72" t="s">
        <v>471</v>
      </c>
    </row>
    <row r="59" spans="1:1" ht="15.75" x14ac:dyDescent="0.25">
      <c r="A59" s="72" t="s">
        <v>472</v>
      </c>
    </row>
    <row r="60" spans="1:1" ht="15.75" x14ac:dyDescent="0.25">
      <c r="A60" s="72" t="s">
        <v>473</v>
      </c>
    </row>
    <row r="61" spans="1:1" ht="15.75" x14ac:dyDescent="0.25">
      <c r="A61" s="72" t="s">
        <v>518</v>
      </c>
    </row>
    <row r="62" spans="1:1" ht="15.75" x14ac:dyDescent="0.25">
      <c r="A62" s="72" t="s">
        <v>519</v>
      </c>
    </row>
    <row r="63" spans="1:1" ht="15.75" x14ac:dyDescent="0.25">
      <c r="A63" s="72" t="s">
        <v>520</v>
      </c>
    </row>
    <row r="64" spans="1:1" ht="15.75" x14ac:dyDescent="0.25">
      <c r="A64" s="72" t="s">
        <v>521</v>
      </c>
    </row>
    <row r="65" spans="1:1" ht="15.75" x14ac:dyDescent="0.25">
      <c r="A65" s="72" t="s">
        <v>522</v>
      </c>
    </row>
    <row r="66" spans="1:1" ht="15.75" x14ac:dyDescent="0.25">
      <c r="A66" s="72" t="s">
        <v>523</v>
      </c>
    </row>
    <row r="67" spans="1:1" ht="15.75" x14ac:dyDescent="0.25">
      <c r="A67" s="72" t="s">
        <v>524</v>
      </c>
    </row>
    <row r="68" spans="1:1" ht="15.75" x14ac:dyDescent="0.25">
      <c r="A68" s="72" t="s">
        <v>525</v>
      </c>
    </row>
    <row r="69" spans="1:1" ht="15.75" x14ac:dyDescent="0.25">
      <c r="A69" s="72" t="s">
        <v>526</v>
      </c>
    </row>
    <row r="70" spans="1:1" ht="15.75" x14ac:dyDescent="0.25">
      <c r="A70" s="72" t="s">
        <v>527</v>
      </c>
    </row>
    <row r="71" spans="1:1" ht="15.75" x14ac:dyDescent="0.25">
      <c r="A71" s="72" t="s">
        <v>528</v>
      </c>
    </row>
    <row r="72" spans="1:1" ht="15.75" x14ac:dyDescent="0.25">
      <c r="A72" s="72" t="s">
        <v>529</v>
      </c>
    </row>
    <row r="73" spans="1:1" ht="15.75" x14ac:dyDescent="0.25">
      <c r="A73" s="72" t="s">
        <v>530</v>
      </c>
    </row>
    <row r="74" spans="1:1" ht="15.75" x14ac:dyDescent="0.25">
      <c r="A74" s="72" t="s">
        <v>531</v>
      </c>
    </row>
    <row r="75" spans="1:1" ht="15.75" x14ac:dyDescent="0.25">
      <c r="A75" s="72" t="s">
        <v>532</v>
      </c>
    </row>
    <row r="76" spans="1:1" ht="15.75" x14ac:dyDescent="0.25">
      <c r="A76" s="72" t="s">
        <v>533</v>
      </c>
    </row>
    <row r="77" spans="1:1" s="107" customFormat="1" x14ac:dyDescent="0.25">
      <c r="A77" s="109" t="s">
        <v>407</v>
      </c>
    </row>
    <row r="78" spans="1:1" ht="15.75" x14ac:dyDescent="0.25">
      <c r="A78" s="42" t="s">
        <v>109</v>
      </c>
    </row>
    <row r="79" spans="1:1" ht="15.75" x14ac:dyDescent="0.25">
      <c r="A79" s="42" t="s">
        <v>306</v>
      </c>
    </row>
    <row r="80" spans="1:1" ht="15.75" x14ac:dyDescent="0.25">
      <c r="A80" s="42" t="s">
        <v>110</v>
      </c>
    </row>
    <row r="81" spans="1:1" ht="15.75" x14ac:dyDescent="0.25">
      <c r="A81" s="42" t="s">
        <v>111</v>
      </c>
    </row>
    <row r="82" spans="1:1" ht="15.75" x14ac:dyDescent="0.25">
      <c r="A82" s="42" t="s">
        <v>314</v>
      </c>
    </row>
    <row r="83" spans="1:1" ht="15.75" x14ac:dyDescent="0.25">
      <c r="A83" s="42" t="s">
        <v>112</v>
      </c>
    </row>
    <row r="84" spans="1:1" ht="15.75" x14ac:dyDescent="0.25">
      <c r="A84" s="42" t="s">
        <v>113</v>
      </c>
    </row>
    <row r="85" spans="1:1" ht="15.75" x14ac:dyDescent="0.25">
      <c r="A85" s="92" t="s">
        <v>332</v>
      </c>
    </row>
    <row r="86" spans="1:1" ht="15.75" x14ac:dyDescent="0.25">
      <c r="A86" s="42" t="s">
        <v>116</v>
      </c>
    </row>
    <row r="87" spans="1:1" ht="15.75" x14ac:dyDescent="0.25">
      <c r="A87" s="42" t="s">
        <v>118</v>
      </c>
    </row>
    <row r="88" spans="1:1" ht="15.75" x14ac:dyDescent="0.25">
      <c r="A88" s="42" t="s">
        <v>117</v>
      </c>
    </row>
    <row r="89" spans="1:1" ht="15.75" x14ac:dyDescent="0.25">
      <c r="A89" s="42" t="s">
        <v>119</v>
      </c>
    </row>
    <row r="90" spans="1:1" ht="15.75" x14ac:dyDescent="0.25">
      <c r="A90" s="42" t="s">
        <v>120</v>
      </c>
    </row>
    <row r="91" spans="1:1" ht="15.75" x14ac:dyDescent="0.25">
      <c r="A91" s="42" t="s">
        <v>122</v>
      </c>
    </row>
    <row r="92" spans="1:1" ht="15.75" x14ac:dyDescent="0.25">
      <c r="A92" s="42" t="s">
        <v>123</v>
      </c>
    </row>
    <row r="93" spans="1:1" ht="15.75" x14ac:dyDescent="0.25">
      <c r="A93" s="42" t="s">
        <v>124</v>
      </c>
    </row>
    <row r="94" spans="1:1" ht="15.75" x14ac:dyDescent="0.25">
      <c r="A94" s="42" t="s">
        <v>125</v>
      </c>
    </row>
    <row r="95" spans="1:1" ht="15.75" x14ac:dyDescent="0.25">
      <c r="A95" s="42" t="s">
        <v>127</v>
      </c>
    </row>
    <row r="96" spans="1:1" ht="15.75" x14ac:dyDescent="0.25">
      <c r="A96" s="42" t="s">
        <v>129</v>
      </c>
    </row>
    <row r="97" spans="1:1" ht="15.75" x14ac:dyDescent="0.25">
      <c r="A97" s="42" t="s">
        <v>130</v>
      </c>
    </row>
    <row r="98" spans="1:1" ht="15.75" x14ac:dyDescent="0.25">
      <c r="A98" s="42" t="s">
        <v>131</v>
      </c>
    </row>
    <row r="99" spans="1:1" ht="15.75" x14ac:dyDescent="0.25">
      <c r="A99" s="42" t="s">
        <v>132</v>
      </c>
    </row>
    <row r="100" spans="1:1" ht="15.75" x14ac:dyDescent="0.25">
      <c r="A100" s="42" t="s">
        <v>133</v>
      </c>
    </row>
    <row r="101" spans="1:1" ht="15.75" x14ac:dyDescent="0.25">
      <c r="A101" s="42" t="s">
        <v>134</v>
      </c>
    </row>
    <row r="102" spans="1:1" ht="15.75" x14ac:dyDescent="0.25">
      <c r="A102" s="42" t="s">
        <v>135</v>
      </c>
    </row>
    <row r="103" spans="1:1" ht="15.75" x14ac:dyDescent="0.25">
      <c r="A103" s="42" t="s">
        <v>136</v>
      </c>
    </row>
    <row r="104" spans="1:1" ht="15.75" x14ac:dyDescent="0.25">
      <c r="A104" s="42" t="s">
        <v>137</v>
      </c>
    </row>
    <row r="105" spans="1:1" ht="15.75" x14ac:dyDescent="0.25">
      <c r="A105" s="42" t="s">
        <v>138</v>
      </c>
    </row>
    <row r="106" spans="1:1" ht="15.75" x14ac:dyDescent="0.25">
      <c r="A106" s="42" t="s">
        <v>139</v>
      </c>
    </row>
    <row r="107" spans="1:1" ht="15.75" x14ac:dyDescent="0.25">
      <c r="A107" s="42" t="s">
        <v>141</v>
      </c>
    </row>
    <row r="108" spans="1:1" ht="15.75" x14ac:dyDescent="0.25">
      <c r="A108" s="42" t="s">
        <v>321</v>
      </c>
    </row>
    <row r="109" spans="1:1" ht="15.75" x14ac:dyDescent="0.25">
      <c r="A109" s="42" t="s">
        <v>142</v>
      </c>
    </row>
    <row r="110" spans="1:1" ht="15.75" x14ac:dyDescent="0.25">
      <c r="A110" s="42" t="s">
        <v>307</v>
      </c>
    </row>
    <row r="111" spans="1:1" ht="15.75" x14ac:dyDescent="0.25">
      <c r="A111" s="42" t="s">
        <v>144</v>
      </c>
    </row>
    <row r="112" spans="1:1" ht="15.75" x14ac:dyDescent="0.25">
      <c r="A112" s="42" t="s">
        <v>145</v>
      </c>
    </row>
    <row r="113" spans="1:1" ht="15.75" x14ac:dyDescent="0.25">
      <c r="A113" s="42" t="s">
        <v>146</v>
      </c>
    </row>
    <row r="114" spans="1:1" ht="15.75" x14ac:dyDescent="0.25">
      <c r="A114" s="42" t="s">
        <v>147</v>
      </c>
    </row>
    <row r="115" spans="1:1" ht="15.75" x14ac:dyDescent="0.25">
      <c r="A115" s="86" t="s">
        <v>193</v>
      </c>
    </row>
    <row r="116" spans="1:1" ht="15.75" x14ac:dyDescent="0.25">
      <c r="A116" s="86" t="s">
        <v>325</v>
      </c>
    </row>
    <row r="117" spans="1:1" ht="15.75" x14ac:dyDescent="0.25">
      <c r="A117" s="86" t="s">
        <v>201</v>
      </c>
    </row>
    <row r="118" spans="1:1" ht="15.75" x14ac:dyDescent="0.25">
      <c r="A118" s="86" t="s">
        <v>324</v>
      </c>
    </row>
    <row r="119" spans="1:1" ht="15.75" x14ac:dyDescent="0.25">
      <c r="A119" s="86" t="s">
        <v>213</v>
      </c>
    </row>
    <row r="120" spans="1:1" ht="15.75" x14ac:dyDescent="0.25">
      <c r="A120" s="86" t="s">
        <v>326</v>
      </c>
    </row>
    <row r="121" spans="1:1" ht="15.75" x14ac:dyDescent="0.25">
      <c r="A121" s="86" t="s">
        <v>351</v>
      </c>
    </row>
    <row r="122" spans="1:1" ht="15.75" x14ac:dyDescent="0.25">
      <c r="A122" s="42" t="s">
        <v>143</v>
      </c>
    </row>
    <row r="123" spans="1:1" ht="15.75" x14ac:dyDescent="0.25">
      <c r="A123" s="42" t="s">
        <v>115</v>
      </c>
    </row>
    <row r="124" spans="1:1" ht="15.75" x14ac:dyDescent="0.25">
      <c r="A124" s="42" t="s">
        <v>148</v>
      </c>
    </row>
    <row r="125" spans="1:1" ht="15.75" x14ac:dyDescent="0.25">
      <c r="A125" s="42" t="s">
        <v>183</v>
      </c>
    </row>
    <row r="126" spans="1:1" ht="15.75" x14ac:dyDescent="0.25">
      <c r="A126" s="86" t="s">
        <v>366</v>
      </c>
    </row>
    <row r="127" spans="1:1" ht="15.75" x14ac:dyDescent="0.25">
      <c r="A127" s="86" t="s">
        <v>380</v>
      </c>
    </row>
    <row r="128" spans="1:1" ht="15.75" x14ac:dyDescent="0.25">
      <c r="A128" s="86" t="s">
        <v>367</v>
      </c>
    </row>
    <row r="129" spans="1:1" ht="15.75" x14ac:dyDescent="0.25">
      <c r="A129" s="86" t="s">
        <v>368</v>
      </c>
    </row>
    <row r="130" spans="1:1" ht="15.75" x14ac:dyDescent="0.25">
      <c r="A130" s="86" t="s">
        <v>378</v>
      </c>
    </row>
    <row r="131" spans="1:1" ht="15.75" x14ac:dyDescent="0.25">
      <c r="A131" s="86" t="s">
        <v>150</v>
      </c>
    </row>
    <row r="132" spans="1:1" ht="15.75" x14ac:dyDescent="0.25">
      <c r="A132" s="86" t="s">
        <v>169</v>
      </c>
    </row>
    <row r="133" spans="1:1" ht="15.75" x14ac:dyDescent="0.25">
      <c r="A133" s="86" t="s">
        <v>361</v>
      </c>
    </row>
    <row r="134" spans="1:1" ht="15.75" x14ac:dyDescent="0.25">
      <c r="A134" s="86" t="s">
        <v>379</v>
      </c>
    </row>
    <row r="135" spans="1:1" ht="15.75" x14ac:dyDescent="0.25">
      <c r="A135" s="86" t="s">
        <v>385</v>
      </c>
    </row>
    <row r="136" spans="1:1" ht="15.75" x14ac:dyDescent="0.25">
      <c r="A136" s="86" t="s">
        <v>386</v>
      </c>
    </row>
    <row r="137" spans="1:1" ht="15.75" x14ac:dyDescent="0.25">
      <c r="A137" s="86" t="s">
        <v>333</v>
      </c>
    </row>
    <row r="138" spans="1:1" ht="15.75" x14ac:dyDescent="0.25">
      <c r="A138" s="86" t="s">
        <v>420</v>
      </c>
    </row>
    <row r="139" spans="1:1" ht="15.75" x14ac:dyDescent="0.25">
      <c r="A139" s="86" t="s">
        <v>353</v>
      </c>
    </row>
    <row r="140" spans="1:1" ht="15.75" x14ac:dyDescent="0.25">
      <c r="A140" s="42" t="s">
        <v>411</v>
      </c>
    </row>
    <row r="141" spans="1:1" ht="15.75" x14ac:dyDescent="0.25">
      <c r="A141" s="42" t="s">
        <v>412</v>
      </c>
    </row>
    <row r="142" spans="1:1" ht="15.75" x14ac:dyDescent="0.25">
      <c r="A142" s="42" t="s">
        <v>396</v>
      </c>
    </row>
    <row r="143" spans="1:1" ht="15.75" x14ac:dyDescent="0.25">
      <c r="A143" s="42" t="s">
        <v>413</v>
      </c>
    </row>
    <row r="144" spans="1:1" ht="15.75" x14ac:dyDescent="0.25">
      <c r="A144" s="42" t="s">
        <v>414</v>
      </c>
    </row>
    <row r="145" spans="1:1" x14ac:dyDescent="0.25">
      <c r="A145" s="110" t="s">
        <v>369</v>
      </c>
    </row>
    <row r="146" spans="1:1" ht="15.75" x14ac:dyDescent="0.25">
      <c r="A146" s="86" t="s">
        <v>397</v>
      </c>
    </row>
    <row r="147" spans="1:1" ht="15.75" x14ac:dyDescent="0.25">
      <c r="A147" s="86" t="s">
        <v>421</v>
      </c>
    </row>
    <row r="148" spans="1:1" ht="15.75" x14ac:dyDescent="0.25">
      <c r="A148" s="86" t="s">
        <v>422</v>
      </c>
    </row>
    <row r="149" spans="1:1" ht="15.75" x14ac:dyDescent="0.25">
      <c r="A149" s="86" t="s">
        <v>423</v>
      </c>
    </row>
    <row r="150" spans="1:1" ht="15.75" x14ac:dyDescent="0.25">
      <c r="A150" s="86" t="s">
        <v>424</v>
      </c>
    </row>
    <row r="151" spans="1:1" ht="15.75" x14ac:dyDescent="0.25">
      <c r="A151" s="86" t="s">
        <v>425</v>
      </c>
    </row>
    <row r="152" spans="1:1" ht="15.75" x14ac:dyDescent="0.25">
      <c r="A152" s="86" t="s">
        <v>426</v>
      </c>
    </row>
    <row r="153" spans="1:1" ht="15.75" x14ac:dyDescent="0.25">
      <c r="A153" s="86" t="s">
        <v>427</v>
      </c>
    </row>
    <row r="154" spans="1:1" ht="15.75" x14ac:dyDescent="0.25">
      <c r="A154" s="86" t="s">
        <v>428</v>
      </c>
    </row>
    <row r="155" spans="1:1" ht="15.75" x14ac:dyDescent="0.25">
      <c r="A155" s="86" t="s">
        <v>429</v>
      </c>
    </row>
    <row r="156" spans="1:1" ht="15.75" x14ac:dyDescent="0.25">
      <c r="A156" s="86" t="s">
        <v>430</v>
      </c>
    </row>
    <row r="157" spans="1:1" ht="15.75" x14ac:dyDescent="0.25">
      <c r="A157" s="86" t="s">
        <v>431</v>
      </c>
    </row>
    <row r="158" spans="1:1" ht="15.75" x14ac:dyDescent="0.25">
      <c r="A158" s="86" t="s">
        <v>432</v>
      </c>
    </row>
    <row r="159" spans="1:1" ht="15.75" x14ac:dyDescent="0.25">
      <c r="A159" s="86" t="s">
        <v>121</v>
      </c>
    </row>
    <row r="160" spans="1:1" ht="15.75" x14ac:dyDescent="0.25">
      <c r="A160" s="86" t="s">
        <v>395</v>
      </c>
    </row>
    <row r="161" spans="1:1" ht="15.75" x14ac:dyDescent="0.25">
      <c r="A161" s="86" t="s">
        <v>438</v>
      </c>
    </row>
    <row r="162" spans="1:1" ht="15.75" x14ac:dyDescent="0.25">
      <c r="A162" s="86" t="s">
        <v>491</v>
      </c>
    </row>
    <row r="163" spans="1:1" ht="15.75" x14ac:dyDescent="0.25">
      <c r="A163" s="86" t="s">
        <v>492</v>
      </c>
    </row>
    <row r="164" spans="1:1" ht="15.75" x14ac:dyDescent="0.25">
      <c r="A164" s="86" t="s">
        <v>493</v>
      </c>
    </row>
    <row r="165" spans="1:1" ht="15.75" x14ac:dyDescent="0.25">
      <c r="A165" s="86" t="s">
        <v>494</v>
      </c>
    </row>
    <row r="166" spans="1:1" ht="15.75" x14ac:dyDescent="0.25">
      <c r="A166" s="86" t="s">
        <v>495</v>
      </c>
    </row>
    <row r="167" spans="1:1" ht="15.75" x14ac:dyDescent="0.25">
      <c r="A167" s="86" t="s">
        <v>496</v>
      </c>
    </row>
    <row r="168" spans="1:1" ht="15.75" x14ac:dyDescent="0.25">
      <c r="A168" s="86" t="s">
        <v>497</v>
      </c>
    </row>
    <row r="169" spans="1:1" ht="15.75" x14ac:dyDescent="0.25">
      <c r="A169" s="86" t="s">
        <v>498</v>
      </c>
    </row>
    <row r="170" spans="1:1" ht="15.75" x14ac:dyDescent="0.25">
      <c r="A170" s="86" t="s">
        <v>433</v>
      </c>
    </row>
    <row r="171" spans="1:1" ht="15.75" x14ac:dyDescent="0.25">
      <c r="A171" s="42" t="s">
        <v>316</v>
      </c>
    </row>
    <row r="172" spans="1:1" ht="15.75" x14ac:dyDescent="0.25">
      <c r="A172" s="42" t="s">
        <v>435</v>
      </c>
    </row>
    <row r="173" spans="1:1" s="107" customFormat="1" x14ac:dyDescent="0.25">
      <c r="A173" s="108" t="s">
        <v>436</v>
      </c>
    </row>
    <row r="174" spans="1:1" ht="15.75" x14ac:dyDescent="0.25">
      <c r="A174" s="42" t="s">
        <v>151</v>
      </c>
    </row>
    <row r="175" spans="1:1" ht="15.75" x14ac:dyDescent="0.25">
      <c r="A175" s="42" t="s">
        <v>154</v>
      </c>
    </row>
    <row r="176" spans="1:1" ht="15.75" x14ac:dyDescent="0.25">
      <c r="A176" s="42" t="s">
        <v>156</v>
      </c>
    </row>
    <row r="177" spans="1:1" ht="15.75" x14ac:dyDescent="0.25">
      <c r="A177" s="42" t="s">
        <v>157</v>
      </c>
    </row>
    <row r="178" spans="1:1" ht="15.75" x14ac:dyDescent="0.25">
      <c r="A178" s="42" t="s">
        <v>158</v>
      </c>
    </row>
    <row r="179" spans="1:1" ht="15.75" x14ac:dyDescent="0.25">
      <c r="A179" s="42" t="s">
        <v>159</v>
      </c>
    </row>
    <row r="180" spans="1:1" ht="15.75" x14ac:dyDescent="0.25">
      <c r="A180" s="42" t="s">
        <v>161</v>
      </c>
    </row>
    <row r="181" spans="1:1" ht="15.75" x14ac:dyDescent="0.25">
      <c r="A181" s="42" t="s">
        <v>162</v>
      </c>
    </row>
    <row r="182" spans="1:1" ht="15.75" x14ac:dyDescent="0.25">
      <c r="A182" s="42" t="s">
        <v>163</v>
      </c>
    </row>
    <row r="183" spans="1:1" ht="15.75" x14ac:dyDescent="0.25">
      <c r="A183" s="42" t="s">
        <v>164</v>
      </c>
    </row>
    <row r="184" spans="1:1" ht="15.75" x14ac:dyDescent="0.25">
      <c r="A184" s="42" t="s">
        <v>165</v>
      </c>
    </row>
    <row r="185" spans="1:1" ht="15.75" x14ac:dyDescent="0.25">
      <c r="A185" s="42" t="s">
        <v>167</v>
      </c>
    </row>
    <row r="186" spans="1:1" ht="15.75" x14ac:dyDescent="0.25">
      <c r="A186" s="42" t="s">
        <v>168</v>
      </c>
    </row>
    <row r="187" spans="1:1" ht="15.75" x14ac:dyDescent="0.25">
      <c r="A187" s="42" t="s">
        <v>170</v>
      </c>
    </row>
    <row r="188" spans="1:1" ht="15.75" x14ac:dyDescent="0.25">
      <c r="A188" s="42" t="s">
        <v>166</v>
      </c>
    </row>
    <row r="189" spans="1:1" ht="15.75" x14ac:dyDescent="0.25">
      <c r="A189" s="42" t="s">
        <v>171</v>
      </c>
    </row>
    <row r="190" spans="1:1" ht="15.75" x14ac:dyDescent="0.25">
      <c r="A190" s="42" t="s">
        <v>172</v>
      </c>
    </row>
    <row r="191" spans="1:1" ht="15.75" x14ac:dyDescent="0.25">
      <c r="A191" s="42" t="s">
        <v>173</v>
      </c>
    </row>
    <row r="192" spans="1:1" ht="15.75" x14ac:dyDescent="0.25">
      <c r="A192" s="42" t="s">
        <v>174</v>
      </c>
    </row>
    <row r="193" spans="1:1" ht="15.75" x14ac:dyDescent="0.25">
      <c r="A193" s="42" t="s">
        <v>176</v>
      </c>
    </row>
    <row r="194" spans="1:1" ht="15.75" x14ac:dyDescent="0.25">
      <c r="A194" s="42" t="s">
        <v>177</v>
      </c>
    </row>
    <row r="195" spans="1:1" ht="15.75" x14ac:dyDescent="0.25">
      <c r="A195" s="42" t="s">
        <v>178</v>
      </c>
    </row>
    <row r="196" spans="1:1" ht="15.75" x14ac:dyDescent="0.25">
      <c r="A196" s="42" t="s">
        <v>179</v>
      </c>
    </row>
    <row r="197" spans="1:1" ht="15.75" x14ac:dyDescent="0.25">
      <c r="A197" s="42" t="s">
        <v>180</v>
      </c>
    </row>
    <row r="198" spans="1:1" ht="15.75" x14ac:dyDescent="0.25">
      <c r="A198" s="42" t="s">
        <v>181</v>
      </c>
    </row>
    <row r="199" spans="1:1" ht="15.75" x14ac:dyDescent="0.25">
      <c r="A199" s="42" t="s">
        <v>182</v>
      </c>
    </row>
    <row r="200" spans="1:1" ht="15.75" x14ac:dyDescent="0.25">
      <c r="A200" s="42" t="s">
        <v>184</v>
      </c>
    </row>
    <row r="201" spans="1:1" ht="15.75" x14ac:dyDescent="0.25">
      <c r="A201" s="42" t="s">
        <v>185</v>
      </c>
    </row>
    <row r="202" spans="1:1" ht="15.75" x14ac:dyDescent="0.25">
      <c r="A202" s="42" t="s">
        <v>186</v>
      </c>
    </row>
    <row r="203" spans="1:1" ht="15.75" x14ac:dyDescent="0.25">
      <c r="A203" s="42" t="s">
        <v>187</v>
      </c>
    </row>
    <row r="204" spans="1:1" x14ac:dyDescent="0.25">
      <c r="A204" s="100" t="s">
        <v>318</v>
      </c>
    </row>
    <row r="205" spans="1:1" x14ac:dyDescent="0.25">
      <c r="A205" s="100" t="s">
        <v>358</v>
      </c>
    </row>
    <row r="206" spans="1:1" ht="15.75" x14ac:dyDescent="0.25">
      <c r="A206" s="42" t="s">
        <v>357</v>
      </c>
    </row>
    <row r="207" spans="1:1" ht="15.75" x14ac:dyDescent="0.25">
      <c r="A207" s="42" t="s">
        <v>313</v>
      </c>
    </row>
    <row r="208" spans="1:1" ht="15.75" x14ac:dyDescent="0.25">
      <c r="A208" s="42" t="s">
        <v>328</v>
      </c>
    </row>
    <row r="209" spans="1:1" ht="15.75" x14ac:dyDescent="0.25">
      <c r="A209" s="42" t="s">
        <v>317</v>
      </c>
    </row>
    <row r="210" spans="1:1" ht="15.75" x14ac:dyDescent="0.25">
      <c r="A210" s="42" t="s">
        <v>334</v>
      </c>
    </row>
    <row r="211" spans="1:1" ht="15.75" x14ac:dyDescent="0.25">
      <c r="A211" s="42" t="s">
        <v>346</v>
      </c>
    </row>
    <row r="212" spans="1:1" ht="15.75" x14ac:dyDescent="0.25">
      <c r="A212" s="42" t="s">
        <v>345</v>
      </c>
    </row>
    <row r="213" spans="1:1" ht="15.75" x14ac:dyDescent="0.25">
      <c r="A213" s="42" t="s">
        <v>343</v>
      </c>
    </row>
    <row r="214" spans="1:1" ht="15.75" x14ac:dyDescent="0.25">
      <c r="A214" s="42" t="s">
        <v>355</v>
      </c>
    </row>
    <row r="215" spans="1:1" ht="15.75" x14ac:dyDescent="0.25">
      <c r="A215" s="42" t="s">
        <v>381</v>
      </c>
    </row>
    <row r="216" spans="1:1" ht="15.75" x14ac:dyDescent="0.25">
      <c r="A216" s="42" t="s">
        <v>398</v>
      </c>
    </row>
    <row r="217" spans="1:1" ht="15.75" x14ac:dyDescent="0.25">
      <c r="A217" s="42" t="s">
        <v>399</v>
      </c>
    </row>
    <row r="218" spans="1:1" ht="15.75" x14ac:dyDescent="0.25">
      <c r="A218" s="42" t="s">
        <v>384</v>
      </c>
    </row>
    <row r="219" spans="1:1" ht="15.75" x14ac:dyDescent="0.25">
      <c r="A219" s="42" t="s">
        <v>392</v>
      </c>
    </row>
    <row r="220" spans="1:1" ht="15.75" x14ac:dyDescent="0.25">
      <c r="A220" s="42" t="s">
        <v>363</v>
      </c>
    </row>
    <row r="221" spans="1:1" ht="15.75" x14ac:dyDescent="0.25">
      <c r="A221" s="42" t="s">
        <v>406</v>
      </c>
    </row>
    <row r="222" spans="1:1" ht="15.75" x14ac:dyDescent="0.25">
      <c r="A222" s="42" t="s">
        <v>443</v>
      </c>
    </row>
    <row r="223" spans="1:1" ht="15.75" x14ac:dyDescent="0.25">
      <c r="A223" s="42" t="s">
        <v>373</v>
      </c>
    </row>
    <row r="224" spans="1:1" ht="15.75" x14ac:dyDescent="0.25">
      <c r="A224" s="42" t="s">
        <v>320</v>
      </c>
    </row>
    <row r="225" spans="1:1" ht="15.75" x14ac:dyDescent="0.25">
      <c r="A225" s="42" t="s">
        <v>304</v>
      </c>
    </row>
    <row r="226" spans="1:1" ht="15.75" x14ac:dyDescent="0.25">
      <c r="A226" s="42" t="s">
        <v>188</v>
      </c>
    </row>
    <row r="227" spans="1:1" x14ac:dyDescent="0.25">
      <c r="A227" s="100" t="s">
        <v>360</v>
      </c>
    </row>
    <row r="228" spans="1:1" x14ac:dyDescent="0.25">
      <c r="A228" s="100" t="s">
        <v>364</v>
      </c>
    </row>
    <row r="229" spans="1:1" x14ac:dyDescent="0.25">
      <c r="A229" s="100" t="s">
        <v>347</v>
      </c>
    </row>
    <row r="230" spans="1:1" ht="15.75" x14ac:dyDescent="0.25">
      <c r="A230" s="42" t="s">
        <v>153</v>
      </c>
    </row>
    <row r="231" spans="1:1" ht="15.75" x14ac:dyDescent="0.25">
      <c r="A231" s="42" t="s">
        <v>359</v>
      </c>
    </row>
    <row r="232" spans="1:1" ht="15.75" x14ac:dyDescent="0.25">
      <c r="A232" s="42" t="s">
        <v>160</v>
      </c>
    </row>
    <row r="233" spans="1:1" ht="15.75" x14ac:dyDescent="0.25">
      <c r="A233" s="42" t="s">
        <v>400</v>
      </c>
    </row>
    <row r="234" spans="1:1" ht="15.75" x14ac:dyDescent="0.25">
      <c r="A234" s="42" t="s">
        <v>340</v>
      </c>
    </row>
    <row r="235" spans="1:1" ht="15.75" x14ac:dyDescent="0.25">
      <c r="A235" s="42" t="s">
        <v>415</v>
      </c>
    </row>
    <row r="236" spans="1:1" ht="15.75" x14ac:dyDescent="0.25">
      <c r="A236" s="42" t="s">
        <v>417</v>
      </c>
    </row>
    <row r="237" spans="1:1" ht="15.75" x14ac:dyDescent="0.25">
      <c r="A237" s="42" t="s">
        <v>418</v>
      </c>
    </row>
    <row r="238" spans="1:1" ht="15.75" x14ac:dyDescent="0.25">
      <c r="A238" s="42" t="s">
        <v>444</v>
      </c>
    </row>
    <row r="239" spans="1:1" ht="15.75" x14ac:dyDescent="0.25">
      <c r="A239" s="42" t="s">
        <v>446</v>
      </c>
    </row>
    <row r="240" spans="1:1" ht="15.75" x14ac:dyDescent="0.25">
      <c r="A240" s="42" t="s">
        <v>448</v>
      </c>
    </row>
    <row r="241" spans="1:1" ht="15.75" x14ac:dyDescent="0.25">
      <c r="A241" s="42" t="s">
        <v>447</v>
      </c>
    </row>
    <row r="242" spans="1:1" ht="15.75" x14ac:dyDescent="0.25">
      <c r="A242" s="42" t="s">
        <v>450</v>
      </c>
    </row>
    <row r="243" spans="1:1" ht="15.75" x14ac:dyDescent="0.25">
      <c r="A243" s="42" t="s">
        <v>453</v>
      </c>
    </row>
    <row r="244" spans="1:1" ht="15.75" x14ac:dyDescent="0.25">
      <c r="A244" s="42" t="s">
        <v>455</v>
      </c>
    </row>
    <row r="245" spans="1:1" ht="15.75" x14ac:dyDescent="0.25">
      <c r="A245" s="42" t="s">
        <v>456</v>
      </c>
    </row>
    <row r="246" spans="1:1" ht="15.75" x14ac:dyDescent="0.25">
      <c r="A246" s="42" t="s">
        <v>457</v>
      </c>
    </row>
    <row r="247" spans="1:1" ht="15.75" x14ac:dyDescent="0.25">
      <c r="A247" s="42" t="s">
        <v>454</v>
      </c>
    </row>
    <row r="248" spans="1:1" ht="15.75" x14ac:dyDescent="0.25">
      <c r="A248" s="42" t="s">
        <v>452</v>
      </c>
    </row>
    <row r="249" spans="1:1" ht="15.75" x14ac:dyDescent="0.25">
      <c r="A249" s="42" t="s">
        <v>451</v>
      </c>
    </row>
    <row r="250" spans="1:1" ht="15.75" x14ac:dyDescent="0.25">
      <c r="A250" s="42" t="s">
        <v>449</v>
      </c>
    </row>
    <row r="251" spans="1:1" ht="15.75" x14ac:dyDescent="0.25">
      <c r="A251" s="42" t="s">
        <v>445</v>
      </c>
    </row>
    <row r="252" spans="1:1" ht="15.75" x14ac:dyDescent="0.25">
      <c r="A252" s="42" t="s">
        <v>434</v>
      </c>
    </row>
    <row r="253" spans="1:1" ht="15.75" x14ac:dyDescent="0.25">
      <c r="A253" s="42" t="s">
        <v>416</v>
      </c>
    </row>
    <row r="254" spans="1:1" ht="15.75" x14ac:dyDescent="0.25">
      <c r="A254" s="42" t="s">
        <v>442</v>
      </c>
    </row>
    <row r="255" spans="1:1" ht="15.75" x14ac:dyDescent="0.25">
      <c r="A255" s="42" t="s">
        <v>335</v>
      </c>
    </row>
    <row r="256" spans="1:1" ht="15.75" x14ac:dyDescent="0.25">
      <c r="A256" s="42" t="s">
        <v>155</v>
      </c>
    </row>
    <row r="257" spans="1:1" ht="15.75" x14ac:dyDescent="0.25">
      <c r="A257" s="42" t="s">
        <v>374</v>
      </c>
    </row>
    <row r="258" spans="1:1" ht="15.75" x14ac:dyDescent="0.25">
      <c r="A258" s="42" t="s">
        <v>487</v>
      </c>
    </row>
    <row r="259" spans="1:1" ht="15.75" x14ac:dyDescent="0.25">
      <c r="A259" s="42" t="s">
        <v>474</v>
      </c>
    </row>
    <row r="260" spans="1:1" ht="15.75" x14ac:dyDescent="0.25">
      <c r="A260" s="42" t="s">
        <v>545</v>
      </c>
    </row>
    <row r="261" spans="1:1" ht="15.75" x14ac:dyDescent="0.25">
      <c r="A261" s="42" t="s">
        <v>544</v>
      </c>
    </row>
    <row r="262" spans="1:1" ht="15.75" x14ac:dyDescent="0.25">
      <c r="A262" s="42" t="s">
        <v>543</v>
      </c>
    </row>
    <row r="263" spans="1:1" ht="15.75" x14ac:dyDescent="0.25">
      <c r="A263" s="42" t="s">
        <v>542</v>
      </c>
    </row>
    <row r="264" spans="1:1" ht="15.75" x14ac:dyDescent="0.25">
      <c r="A264" s="42" t="s">
        <v>541</v>
      </c>
    </row>
    <row r="265" spans="1:1" ht="15.75" x14ac:dyDescent="0.25">
      <c r="A265" s="42" t="s">
        <v>540</v>
      </c>
    </row>
    <row r="266" spans="1:1" ht="15.75" x14ac:dyDescent="0.25">
      <c r="A266" s="42" t="s">
        <v>539</v>
      </c>
    </row>
    <row r="267" spans="1:1" ht="15.75" x14ac:dyDescent="0.25">
      <c r="A267" s="42" t="s">
        <v>538</v>
      </c>
    </row>
    <row r="268" spans="1:1" ht="15.75" x14ac:dyDescent="0.25">
      <c r="A268" s="42" t="s">
        <v>537</v>
      </c>
    </row>
    <row r="269" spans="1:1" ht="15.75" x14ac:dyDescent="0.25">
      <c r="A269" s="42" t="s">
        <v>536</v>
      </c>
    </row>
    <row r="270" spans="1:1" ht="15.75" x14ac:dyDescent="0.25">
      <c r="A270" s="42" t="s">
        <v>535</v>
      </c>
    </row>
    <row r="271" spans="1:1" ht="15.75" x14ac:dyDescent="0.25">
      <c r="A271" s="42" t="s">
        <v>534</v>
      </c>
    </row>
    <row r="272" spans="1:1" ht="15.75" x14ac:dyDescent="0.25">
      <c r="A272" s="42" t="s">
        <v>488</v>
      </c>
    </row>
    <row r="273" spans="1:1" ht="15.75" x14ac:dyDescent="0.25">
      <c r="A273" s="42" t="s">
        <v>489</v>
      </c>
    </row>
    <row r="274" spans="1:1" x14ac:dyDescent="0.25">
      <c r="A274" s="100" t="s">
        <v>546</v>
      </c>
    </row>
    <row r="275" spans="1:1" x14ac:dyDescent="0.25">
      <c r="A275" s="100" t="s">
        <v>547</v>
      </c>
    </row>
    <row r="276" spans="1:1" x14ac:dyDescent="0.25">
      <c r="A276" s="100" t="s">
        <v>490</v>
      </c>
    </row>
    <row r="277" spans="1:1" ht="15.75" x14ac:dyDescent="0.25">
      <c r="A277" s="42" t="s">
        <v>175</v>
      </c>
    </row>
    <row r="278" spans="1:1" ht="15.75" x14ac:dyDescent="0.25">
      <c r="A278" s="42" t="s">
        <v>365</v>
      </c>
    </row>
    <row r="279" spans="1:1" s="107" customFormat="1" x14ac:dyDescent="0.25">
      <c r="A279" s="108" t="s">
        <v>458</v>
      </c>
    </row>
    <row r="280" spans="1:1" ht="15.75" x14ac:dyDescent="0.25">
      <c r="A280" s="42" t="s">
        <v>190</v>
      </c>
    </row>
    <row r="281" spans="1:1" ht="15.75" x14ac:dyDescent="0.25">
      <c r="A281" s="42" t="s">
        <v>212</v>
      </c>
    </row>
    <row r="282" spans="1:1" ht="15.75" x14ac:dyDescent="0.25">
      <c r="A282" s="42" t="s">
        <v>192</v>
      </c>
    </row>
    <row r="283" spans="1:1" ht="15.75" x14ac:dyDescent="0.25">
      <c r="A283" s="42" t="s">
        <v>196</v>
      </c>
    </row>
    <row r="284" spans="1:1" ht="15.75" x14ac:dyDescent="0.25">
      <c r="A284" s="42" t="s">
        <v>195</v>
      </c>
    </row>
    <row r="285" spans="1:1" ht="15.75" x14ac:dyDescent="0.25">
      <c r="A285" s="42" t="s">
        <v>197</v>
      </c>
    </row>
    <row r="286" spans="1:1" ht="15.75" x14ac:dyDescent="0.25">
      <c r="A286" s="42" t="s">
        <v>198</v>
      </c>
    </row>
    <row r="287" spans="1:1" ht="15.75" x14ac:dyDescent="0.25">
      <c r="A287" s="42" t="s">
        <v>199</v>
      </c>
    </row>
    <row r="288" spans="1:1" ht="15.75" x14ac:dyDescent="0.25">
      <c r="A288" s="42" t="s">
        <v>202</v>
      </c>
    </row>
    <row r="289" spans="1:1" ht="15.75" x14ac:dyDescent="0.25">
      <c r="A289" s="42" t="s">
        <v>203</v>
      </c>
    </row>
    <row r="290" spans="1:1" ht="15.75" x14ac:dyDescent="0.25">
      <c r="A290" s="42" t="s">
        <v>204</v>
      </c>
    </row>
    <row r="291" spans="1:1" ht="15.75" x14ac:dyDescent="0.25">
      <c r="A291" s="42" t="s">
        <v>205</v>
      </c>
    </row>
    <row r="292" spans="1:1" ht="15.75" x14ac:dyDescent="0.25">
      <c r="A292" s="42" t="s">
        <v>206</v>
      </c>
    </row>
    <row r="293" spans="1:1" ht="15.75" x14ac:dyDescent="0.25">
      <c r="A293" s="42" t="s">
        <v>207</v>
      </c>
    </row>
    <row r="294" spans="1:1" ht="15.75" x14ac:dyDescent="0.25">
      <c r="A294" s="42" t="s">
        <v>208</v>
      </c>
    </row>
    <row r="295" spans="1:1" ht="15.75" x14ac:dyDescent="0.25">
      <c r="A295" s="42" t="s">
        <v>209</v>
      </c>
    </row>
    <row r="296" spans="1:1" ht="15.75" x14ac:dyDescent="0.25">
      <c r="A296" s="42" t="s">
        <v>152</v>
      </c>
    </row>
    <row r="297" spans="1:1" ht="15.75" x14ac:dyDescent="0.25">
      <c r="A297" s="42" t="s">
        <v>327</v>
      </c>
    </row>
    <row r="298" spans="1:1" ht="15.75" x14ac:dyDescent="0.25">
      <c r="A298" s="42" t="s">
        <v>210</v>
      </c>
    </row>
    <row r="299" spans="1:1" ht="15.75" x14ac:dyDescent="0.25">
      <c r="A299" s="42" t="s">
        <v>337</v>
      </c>
    </row>
    <row r="300" spans="1:1" ht="15.75" x14ac:dyDescent="0.25">
      <c r="A300" s="42" t="s">
        <v>338</v>
      </c>
    </row>
    <row r="301" spans="1:1" ht="15.75" x14ac:dyDescent="0.25">
      <c r="A301" s="42" t="s">
        <v>339</v>
      </c>
    </row>
    <row r="302" spans="1:1" ht="15.75" x14ac:dyDescent="0.25">
      <c r="A302" s="42" t="s">
        <v>341</v>
      </c>
    </row>
    <row r="303" spans="1:1" ht="15.75" x14ac:dyDescent="0.25">
      <c r="A303" s="42" t="s">
        <v>342</v>
      </c>
    </row>
    <row r="304" spans="1:1" ht="15.75" x14ac:dyDescent="0.25">
      <c r="A304" s="42" t="s">
        <v>331</v>
      </c>
    </row>
    <row r="305" spans="1:1" ht="15.75" x14ac:dyDescent="0.25">
      <c r="A305" s="42" t="s">
        <v>194</v>
      </c>
    </row>
    <row r="306" spans="1:1" ht="15.75" x14ac:dyDescent="0.25">
      <c r="A306" s="42" t="s">
        <v>383</v>
      </c>
    </row>
    <row r="307" spans="1:1" ht="15.75" x14ac:dyDescent="0.25">
      <c r="A307" s="42" t="s">
        <v>372</v>
      </c>
    </row>
    <row r="308" spans="1:1" ht="15.75" x14ac:dyDescent="0.25">
      <c r="A308" s="42" t="s">
        <v>437</v>
      </c>
    </row>
    <row r="309" spans="1:1" ht="15.75" x14ac:dyDescent="0.25">
      <c r="A309" s="42" t="s">
        <v>391</v>
      </c>
    </row>
    <row r="310" spans="1:1" ht="15.75" x14ac:dyDescent="0.25">
      <c r="A310" s="42" t="s">
        <v>499</v>
      </c>
    </row>
    <row r="311" spans="1:1" ht="15.75" x14ac:dyDescent="0.25">
      <c r="A311" s="42" t="s">
        <v>500</v>
      </c>
    </row>
    <row r="312" spans="1:1" ht="15.75" x14ac:dyDescent="0.25">
      <c r="A312" s="42" t="s">
        <v>501</v>
      </c>
    </row>
    <row r="313" spans="1:1" ht="15.75" x14ac:dyDescent="0.25">
      <c r="A313" s="42" t="s">
        <v>211</v>
      </c>
    </row>
    <row r="314" spans="1:1" ht="15.75" x14ac:dyDescent="0.25">
      <c r="A314" s="42" t="s">
        <v>502</v>
      </c>
    </row>
    <row r="315" spans="1:1" ht="15.75" x14ac:dyDescent="0.25">
      <c r="A315" s="42" t="s">
        <v>419</v>
      </c>
    </row>
    <row r="316" spans="1:1" ht="15.75" x14ac:dyDescent="0.25">
      <c r="A316" s="42" t="s">
        <v>214</v>
      </c>
    </row>
    <row r="317" spans="1:1" ht="15.75" x14ac:dyDescent="0.25">
      <c r="A317" s="42" t="s">
        <v>215</v>
      </c>
    </row>
    <row r="318" spans="1:1" ht="15.75" x14ac:dyDescent="0.25">
      <c r="A318" s="42" t="s">
        <v>402</v>
      </c>
    </row>
    <row r="319" spans="1:1" ht="15.75" x14ac:dyDescent="0.25">
      <c r="A319" s="42" t="s">
        <v>439</v>
      </c>
    </row>
    <row r="320" spans="1:1" ht="15.75" x14ac:dyDescent="0.25">
      <c r="A320" s="42" t="s">
        <v>440</v>
      </c>
    </row>
    <row r="321" spans="1:1" ht="15.75" x14ac:dyDescent="0.25">
      <c r="A321" s="42" t="s">
        <v>362</v>
      </c>
    </row>
    <row r="322" spans="1:1" ht="15.75" x14ac:dyDescent="0.25">
      <c r="A322" s="42" t="s">
        <v>370</v>
      </c>
    </row>
    <row r="323" spans="1:1" ht="15.75" x14ac:dyDescent="0.25">
      <c r="A323" s="42" t="s">
        <v>191</v>
      </c>
    </row>
    <row r="324" spans="1:1" ht="15.75" x14ac:dyDescent="0.25">
      <c r="A324" s="42" t="s">
        <v>336</v>
      </c>
    </row>
    <row r="325" spans="1:1" ht="15.75" x14ac:dyDescent="0.25">
      <c r="A325" s="42" t="s">
        <v>503</v>
      </c>
    </row>
    <row r="326" spans="1:1" ht="15.75" x14ac:dyDescent="0.25">
      <c r="A326" s="42" t="s">
        <v>475</v>
      </c>
    </row>
    <row r="327" spans="1:1" ht="15.75" x14ac:dyDescent="0.25">
      <c r="A327" s="42" t="s">
        <v>403</v>
      </c>
    </row>
    <row r="328" spans="1:1" ht="15.75" x14ac:dyDescent="0.25">
      <c r="A328" s="42" t="s">
        <v>354</v>
      </c>
    </row>
    <row r="329" spans="1:1" ht="15.75" x14ac:dyDescent="0.25">
      <c r="A329" s="42" t="s">
        <v>476</v>
      </c>
    </row>
    <row r="330" spans="1:1" ht="15.75" x14ac:dyDescent="0.25">
      <c r="A330" s="42" t="s">
        <v>477</v>
      </c>
    </row>
    <row r="331" spans="1:1" ht="15.75" x14ac:dyDescent="0.25">
      <c r="A331" s="42" t="s">
        <v>478</v>
      </c>
    </row>
    <row r="332" spans="1:1" ht="15.75" x14ac:dyDescent="0.25">
      <c r="A332" s="42" t="s">
        <v>479</v>
      </c>
    </row>
    <row r="333" spans="1:1" ht="15.75" x14ac:dyDescent="0.25">
      <c r="A333" s="42" t="s">
        <v>480</v>
      </c>
    </row>
    <row r="334" spans="1:1" ht="15.75" x14ac:dyDescent="0.25">
      <c r="A334" s="42" t="s">
        <v>481</v>
      </c>
    </row>
    <row r="335" spans="1:1" ht="15.75" x14ac:dyDescent="0.25">
      <c r="A335" s="42" t="s">
        <v>504</v>
      </c>
    </row>
    <row r="336" spans="1:1" ht="15.75" x14ac:dyDescent="0.25">
      <c r="A336" s="42" t="s">
        <v>505</v>
      </c>
    </row>
    <row r="337" spans="1:1" ht="15.75" x14ac:dyDescent="0.25">
      <c r="A337" s="42" t="s">
        <v>506</v>
      </c>
    </row>
    <row r="338" spans="1:1" ht="15.75" x14ac:dyDescent="0.25">
      <c r="A338" s="42" t="s">
        <v>507</v>
      </c>
    </row>
    <row r="339" spans="1:1" ht="15.75" x14ac:dyDescent="0.25">
      <c r="A339" s="42" t="s">
        <v>508</v>
      </c>
    </row>
    <row r="340" spans="1:1" ht="15.75" x14ac:dyDescent="0.25">
      <c r="A340" s="42" t="s">
        <v>509</v>
      </c>
    </row>
    <row r="341" spans="1:1" ht="15.75" x14ac:dyDescent="0.25">
      <c r="A341" s="42" t="s">
        <v>510</v>
      </c>
    </row>
    <row r="342" spans="1:1" ht="15.75" x14ac:dyDescent="0.25">
      <c r="A342" s="42" t="s">
        <v>200</v>
      </c>
    </row>
    <row r="343" spans="1:1" ht="15.75" x14ac:dyDescent="0.25">
      <c r="A343" s="42" t="s">
        <v>349</v>
      </c>
    </row>
    <row r="344" spans="1:1" ht="15.75" x14ac:dyDescent="0.25">
      <c r="A344" s="42" t="s">
        <v>511</v>
      </c>
    </row>
    <row r="345" spans="1:1" s="107" customFormat="1" x14ac:dyDescent="0.25">
      <c r="A345" s="108" t="s">
        <v>404</v>
      </c>
    </row>
    <row r="346" spans="1:1" ht="15.75" x14ac:dyDescent="0.25">
      <c r="A346" s="42" t="s">
        <v>216</v>
      </c>
    </row>
    <row r="347" spans="1:1" ht="15.75" x14ac:dyDescent="0.25">
      <c r="A347" s="42" t="s">
        <v>217</v>
      </c>
    </row>
    <row r="348" spans="1:1" ht="15.75" x14ac:dyDescent="0.25">
      <c r="A348" s="42" t="s">
        <v>218</v>
      </c>
    </row>
    <row r="349" spans="1:1" ht="15.75" x14ac:dyDescent="0.25">
      <c r="A349" s="42" t="s">
        <v>388</v>
      </c>
    </row>
    <row r="350" spans="1:1" ht="15.75" x14ac:dyDescent="0.25">
      <c r="A350" s="42" t="s">
        <v>220</v>
      </c>
    </row>
    <row r="351" spans="1:1" ht="15.75" x14ac:dyDescent="0.25">
      <c r="A351" s="42" t="s">
        <v>221</v>
      </c>
    </row>
    <row r="352" spans="1:1" ht="15.75" x14ac:dyDescent="0.25">
      <c r="A352" s="42" t="s">
        <v>222</v>
      </c>
    </row>
    <row r="353" spans="1:1" ht="15.75" x14ac:dyDescent="0.25">
      <c r="A353" s="42" t="s">
        <v>223</v>
      </c>
    </row>
    <row r="354" spans="1:1" ht="15.75" x14ac:dyDescent="0.25">
      <c r="A354" s="42" t="s">
        <v>224</v>
      </c>
    </row>
    <row r="355" spans="1:1" ht="15.75" x14ac:dyDescent="0.25">
      <c r="A355" s="42" t="s">
        <v>225</v>
      </c>
    </row>
    <row r="356" spans="1:1" ht="15.75" x14ac:dyDescent="0.25">
      <c r="A356" s="42" t="s">
        <v>226</v>
      </c>
    </row>
    <row r="357" spans="1:1" ht="15.75" x14ac:dyDescent="0.25">
      <c r="A357" s="42" t="s">
        <v>227</v>
      </c>
    </row>
    <row r="358" spans="1:1" ht="15.75" x14ac:dyDescent="0.25">
      <c r="A358" s="42" t="s">
        <v>229</v>
      </c>
    </row>
    <row r="359" spans="1:1" ht="15.75" x14ac:dyDescent="0.25">
      <c r="A359" s="42" t="s">
        <v>230</v>
      </c>
    </row>
    <row r="360" spans="1:1" ht="15.75" x14ac:dyDescent="0.25">
      <c r="A360" s="42" t="s">
        <v>231</v>
      </c>
    </row>
    <row r="361" spans="1:1" ht="15.75" x14ac:dyDescent="0.25">
      <c r="A361" s="42" t="s">
        <v>232</v>
      </c>
    </row>
    <row r="362" spans="1:1" ht="15.75" x14ac:dyDescent="0.25">
      <c r="A362" s="42" t="s">
        <v>233</v>
      </c>
    </row>
    <row r="363" spans="1:1" ht="15.75" x14ac:dyDescent="0.25">
      <c r="A363" s="42" t="s">
        <v>234</v>
      </c>
    </row>
    <row r="364" spans="1:1" ht="15.75" x14ac:dyDescent="0.25">
      <c r="A364" s="42" t="s">
        <v>235</v>
      </c>
    </row>
    <row r="365" spans="1:1" ht="15.75" x14ac:dyDescent="0.25">
      <c r="A365" s="42" t="s">
        <v>236</v>
      </c>
    </row>
    <row r="366" spans="1:1" ht="15.75" x14ac:dyDescent="0.25">
      <c r="A366" s="42" t="s">
        <v>237</v>
      </c>
    </row>
    <row r="367" spans="1:1" ht="15.75" x14ac:dyDescent="0.25">
      <c r="A367" s="42" t="s">
        <v>238</v>
      </c>
    </row>
    <row r="368" spans="1:1" ht="15.75" x14ac:dyDescent="0.25">
      <c r="A368" s="42" t="s">
        <v>239</v>
      </c>
    </row>
    <row r="369" spans="1:1" ht="15.75" x14ac:dyDescent="0.25">
      <c r="A369" s="42" t="s">
        <v>240</v>
      </c>
    </row>
    <row r="370" spans="1:1" ht="15.75" x14ac:dyDescent="0.25">
      <c r="A370" s="42" t="s">
        <v>315</v>
      </c>
    </row>
    <row r="371" spans="1:1" ht="15.75" x14ac:dyDescent="0.25">
      <c r="A371" s="42" t="s">
        <v>241</v>
      </c>
    </row>
    <row r="372" spans="1:1" ht="15.75" x14ac:dyDescent="0.25">
      <c r="A372" s="42" t="s">
        <v>242</v>
      </c>
    </row>
    <row r="373" spans="1:1" ht="15.75" x14ac:dyDescent="0.25">
      <c r="A373" s="42" t="s">
        <v>243</v>
      </c>
    </row>
    <row r="374" spans="1:1" ht="15.75" x14ac:dyDescent="0.25">
      <c r="A374" s="42" t="s">
        <v>244</v>
      </c>
    </row>
    <row r="375" spans="1:1" ht="15.75" x14ac:dyDescent="0.25">
      <c r="A375" s="42" t="s">
        <v>245</v>
      </c>
    </row>
    <row r="376" spans="1:1" ht="15.75" x14ac:dyDescent="0.25">
      <c r="A376" s="42" t="s">
        <v>246</v>
      </c>
    </row>
    <row r="377" spans="1:1" ht="15.75" x14ac:dyDescent="0.25">
      <c r="A377" s="42" t="s">
        <v>247</v>
      </c>
    </row>
    <row r="378" spans="1:1" ht="15.75" x14ac:dyDescent="0.25">
      <c r="A378" s="42" t="s">
        <v>248</v>
      </c>
    </row>
    <row r="379" spans="1:1" ht="15.75" x14ac:dyDescent="0.25">
      <c r="A379" s="42" t="s">
        <v>249</v>
      </c>
    </row>
    <row r="380" spans="1:1" ht="15.75" x14ac:dyDescent="0.25">
      <c r="A380" s="42" t="s">
        <v>250</v>
      </c>
    </row>
    <row r="381" spans="1:1" ht="15.75" x14ac:dyDescent="0.25">
      <c r="A381" s="42" t="s">
        <v>251</v>
      </c>
    </row>
    <row r="382" spans="1:1" ht="15.75" x14ac:dyDescent="0.25">
      <c r="A382" s="42" t="s">
        <v>252</v>
      </c>
    </row>
    <row r="383" spans="1:1" ht="15.75" x14ac:dyDescent="0.25">
      <c r="A383" s="42" t="s">
        <v>253</v>
      </c>
    </row>
    <row r="384" spans="1:1" ht="15.75" x14ac:dyDescent="0.25">
      <c r="A384" s="42" t="s">
        <v>254</v>
      </c>
    </row>
    <row r="385" spans="1:1" ht="15.75" x14ac:dyDescent="0.25">
      <c r="A385" s="42" t="s">
        <v>255</v>
      </c>
    </row>
    <row r="386" spans="1:1" ht="15.75" x14ac:dyDescent="0.25">
      <c r="A386" s="42" t="s">
        <v>256</v>
      </c>
    </row>
    <row r="387" spans="1:1" ht="15.75" x14ac:dyDescent="0.25">
      <c r="A387" s="42" t="s">
        <v>228</v>
      </c>
    </row>
    <row r="388" spans="1:1" ht="15.75" x14ac:dyDescent="0.25">
      <c r="A388" s="42" t="s">
        <v>371</v>
      </c>
    </row>
    <row r="389" spans="1:1" ht="15.75" x14ac:dyDescent="0.25">
      <c r="A389" s="42" t="s">
        <v>517</v>
      </c>
    </row>
    <row r="390" spans="1:1" ht="15.75" x14ac:dyDescent="0.25">
      <c r="A390" s="42" t="s">
        <v>377</v>
      </c>
    </row>
    <row r="391" spans="1:1" ht="15.75" x14ac:dyDescent="0.25">
      <c r="A391" s="42" t="s">
        <v>140</v>
      </c>
    </row>
    <row r="392" spans="1:1" ht="15.75" x14ac:dyDescent="0.25">
      <c r="A392" s="42" t="s">
        <v>126</v>
      </c>
    </row>
    <row r="393" spans="1:1" ht="15.75" x14ac:dyDescent="0.25">
      <c r="A393" s="42" t="s">
        <v>149</v>
      </c>
    </row>
    <row r="394" spans="1:1" ht="15.75" x14ac:dyDescent="0.25">
      <c r="A394" s="42" t="s">
        <v>257</v>
      </c>
    </row>
    <row r="395" spans="1:1" ht="15.75" x14ac:dyDescent="0.25">
      <c r="A395" s="42" t="s">
        <v>258</v>
      </c>
    </row>
    <row r="396" spans="1:1" ht="15.75" x14ac:dyDescent="0.25">
      <c r="A396" s="42" t="s">
        <v>259</v>
      </c>
    </row>
    <row r="397" spans="1:1" ht="15.75" x14ac:dyDescent="0.25">
      <c r="A397" s="42" t="s">
        <v>305</v>
      </c>
    </row>
    <row r="398" spans="1:1" ht="15.75" x14ac:dyDescent="0.25">
      <c r="A398" s="42" t="s">
        <v>260</v>
      </c>
    </row>
    <row r="399" spans="1:1" ht="15.75" x14ac:dyDescent="0.25">
      <c r="A399" s="42" t="s">
        <v>270</v>
      </c>
    </row>
    <row r="400" spans="1:1" ht="15.75" x14ac:dyDescent="0.25">
      <c r="A400" s="42" t="s">
        <v>512</v>
      </c>
    </row>
    <row r="401" spans="1:1" ht="15.75" x14ac:dyDescent="0.25">
      <c r="A401" s="42" t="s">
        <v>261</v>
      </c>
    </row>
    <row r="402" spans="1:1" ht="15.75" x14ac:dyDescent="0.25">
      <c r="A402" s="42" t="s">
        <v>262</v>
      </c>
    </row>
    <row r="403" spans="1:1" ht="15.75" x14ac:dyDescent="0.25">
      <c r="A403" s="42" t="s">
        <v>263</v>
      </c>
    </row>
    <row r="404" spans="1:1" ht="15.75" x14ac:dyDescent="0.25">
      <c r="A404" s="42" t="s">
        <v>264</v>
      </c>
    </row>
    <row r="405" spans="1:1" ht="15.75" x14ac:dyDescent="0.25">
      <c r="A405" s="42" t="s">
        <v>265</v>
      </c>
    </row>
    <row r="406" spans="1:1" ht="15.75" x14ac:dyDescent="0.25">
      <c r="A406" s="42" t="s">
        <v>266</v>
      </c>
    </row>
    <row r="407" spans="1:1" ht="15.75" x14ac:dyDescent="0.25">
      <c r="A407" s="42" t="s">
        <v>356</v>
      </c>
    </row>
    <row r="408" spans="1:1" ht="15.75" x14ac:dyDescent="0.25">
      <c r="A408" s="42" t="s">
        <v>114</v>
      </c>
    </row>
    <row r="409" spans="1:1" ht="15.75" x14ac:dyDescent="0.25">
      <c r="A409" s="42" t="s">
        <v>269</v>
      </c>
    </row>
    <row r="410" spans="1:1" ht="15.75" x14ac:dyDescent="0.25">
      <c r="A410" s="42" t="s">
        <v>348</v>
      </c>
    </row>
    <row r="411" spans="1:1" ht="15.75" x14ac:dyDescent="0.25">
      <c r="A411" s="42" t="s">
        <v>128</v>
      </c>
    </row>
    <row r="412" spans="1:1" ht="15.75" x14ac:dyDescent="0.25">
      <c r="A412" s="42" t="s">
        <v>189</v>
      </c>
    </row>
    <row r="413" spans="1:1" ht="15.75" x14ac:dyDescent="0.25">
      <c r="A413" s="42" t="s">
        <v>376</v>
      </c>
    </row>
    <row r="414" spans="1:1" ht="15.75" x14ac:dyDescent="0.25">
      <c r="A414" s="42" t="s">
        <v>389</v>
      </c>
    </row>
    <row r="415" spans="1:1" ht="15.75" x14ac:dyDescent="0.25">
      <c r="A415" s="42" t="s">
        <v>352</v>
      </c>
    </row>
    <row r="416" spans="1:1" ht="15.75" x14ac:dyDescent="0.25">
      <c r="A416" s="42" t="s">
        <v>482</v>
      </c>
    </row>
    <row r="417" spans="1:1" ht="15.75" x14ac:dyDescent="0.25">
      <c r="A417" s="42" t="s">
        <v>267</v>
      </c>
    </row>
    <row r="418" spans="1:1" ht="15.75" x14ac:dyDescent="0.25">
      <c r="A418" s="42" t="s">
        <v>382</v>
      </c>
    </row>
    <row r="419" spans="1:1" ht="15.75" x14ac:dyDescent="0.25">
      <c r="A419" s="42" t="s">
        <v>219</v>
      </c>
    </row>
    <row r="420" spans="1:1" ht="15.75" x14ac:dyDescent="0.25">
      <c r="A420" s="42" t="s">
        <v>344</v>
      </c>
    </row>
    <row r="421" spans="1:1" ht="15.75" x14ac:dyDescent="0.25">
      <c r="A421" s="42" t="s">
        <v>513</v>
      </c>
    </row>
    <row r="422" spans="1:1" ht="15.75" x14ac:dyDescent="0.25">
      <c r="A422" s="42" t="s">
        <v>268</v>
      </c>
    </row>
    <row r="423" spans="1:1" ht="15.75" x14ac:dyDescent="0.25">
      <c r="A423" s="42" t="s">
        <v>390</v>
      </c>
    </row>
    <row r="424" spans="1:1" ht="15.75" x14ac:dyDescent="0.25">
      <c r="A424" s="42" t="s">
        <v>514</v>
      </c>
    </row>
    <row r="425" spans="1:1" ht="15.75" x14ac:dyDescent="0.25">
      <c r="A425" s="42" t="s">
        <v>484</v>
      </c>
    </row>
    <row r="426" spans="1:1" ht="15.75" x14ac:dyDescent="0.25">
      <c r="A426" s="42" t="s">
        <v>483</v>
      </c>
    </row>
    <row r="427" spans="1:1" ht="15.75" x14ac:dyDescent="0.25">
      <c r="A427" s="42" t="s">
        <v>515</v>
      </c>
    </row>
    <row r="428" spans="1:1" ht="15.75" x14ac:dyDescent="0.25">
      <c r="A428" s="42" t="s">
        <v>516</v>
      </c>
    </row>
    <row r="429" spans="1:1" ht="15.75" x14ac:dyDescent="0.25">
      <c r="A429" s="42" t="s">
        <v>401</v>
      </c>
    </row>
    <row r="430" spans="1:1" ht="15.75" x14ac:dyDescent="0.25">
      <c r="A430" s="42" t="s">
        <v>271</v>
      </c>
    </row>
    <row r="431" spans="1:1" ht="15.75" x14ac:dyDescent="0.25">
      <c r="A431" s="86" t="s">
        <v>485</v>
      </c>
    </row>
    <row r="432" spans="1:1" ht="15.75" x14ac:dyDescent="0.25">
      <c r="A432" s="86" t="s">
        <v>486</v>
      </c>
    </row>
    <row r="433" spans="1:1" s="107" customFormat="1" x14ac:dyDescent="0.25">
      <c r="A433" s="111" t="s">
        <v>272</v>
      </c>
    </row>
    <row r="434" spans="1:1" ht="15.75" x14ac:dyDescent="0.25">
      <c r="A434" s="42" t="s">
        <v>273</v>
      </c>
    </row>
    <row r="435" spans="1:1" ht="15.75" x14ac:dyDescent="0.25">
      <c r="A435" s="42" t="s">
        <v>276</v>
      </c>
    </row>
    <row r="436" spans="1:1" ht="15.75" x14ac:dyDescent="0.25">
      <c r="A436" s="42" t="s">
        <v>277</v>
      </c>
    </row>
    <row r="437" spans="1:1" ht="15.75" x14ac:dyDescent="0.25">
      <c r="A437" s="42" t="s">
        <v>278</v>
      </c>
    </row>
    <row r="438" spans="1:1" ht="15.75" x14ac:dyDescent="0.25">
      <c r="A438" s="42" t="s">
        <v>410</v>
      </c>
    </row>
    <row r="439" spans="1:1" ht="15.75" x14ac:dyDescent="0.25">
      <c r="A439" s="42" t="s">
        <v>279</v>
      </c>
    </row>
  </sheetData>
  <conditionalFormatting sqref="A1:A1048576">
    <cfRule type="duplicateValues" dxfId="65" priority="1"/>
  </conditionalFormatting>
  <conditionalFormatting sqref="A31">
    <cfRule type="duplicateValues" dxfId="64" priority="62"/>
    <cfRule type="duplicateValues" dxfId="63" priority="61"/>
  </conditionalFormatting>
  <conditionalFormatting sqref="A32">
    <cfRule type="duplicateValues" dxfId="62" priority="60"/>
    <cfRule type="duplicateValues" dxfId="61" priority="59"/>
  </conditionalFormatting>
  <conditionalFormatting sqref="A33">
    <cfRule type="duplicateValues" dxfId="60" priority="65"/>
    <cfRule type="duplicateValues" dxfId="59" priority="66"/>
  </conditionalFormatting>
  <conditionalFormatting sqref="A39 A1:A30">
    <cfRule type="duplicateValues" dxfId="58" priority="64"/>
    <cfRule type="duplicateValues" dxfId="57" priority="63"/>
  </conditionalFormatting>
  <conditionalFormatting sqref="A43">
    <cfRule type="duplicateValues" dxfId="56" priority="56"/>
    <cfRule type="duplicateValues" dxfId="55" priority="55"/>
  </conditionalFormatting>
  <conditionalFormatting sqref="A44:A77">
    <cfRule type="duplicateValues" dxfId="54" priority="58"/>
    <cfRule type="duplicateValues" dxfId="53" priority="57"/>
  </conditionalFormatting>
  <conditionalFormatting sqref="A122">
    <cfRule type="duplicateValues" dxfId="52" priority="46"/>
    <cfRule type="duplicateValues" dxfId="51" priority="45"/>
  </conditionalFormatting>
  <conditionalFormatting sqref="A123">
    <cfRule type="duplicateValues" dxfId="50" priority="52"/>
    <cfRule type="duplicateValues" dxfId="49" priority="51"/>
  </conditionalFormatting>
  <conditionalFormatting sqref="A124">
    <cfRule type="duplicateValues" dxfId="48" priority="44"/>
    <cfRule type="duplicateValues" dxfId="47" priority="43"/>
    <cfRule type="duplicateValues" dxfId="46" priority="42"/>
  </conditionalFormatting>
  <conditionalFormatting sqref="A125:A138">
    <cfRule type="duplicateValues" dxfId="45" priority="54"/>
    <cfRule type="duplicateValues" dxfId="44" priority="53"/>
  </conditionalFormatting>
  <conditionalFormatting sqref="A139 A78:A121">
    <cfRule type="duplicateValues" dxfId="43" priority="50"/>
    <cfRule type="duplicateValues" dxfId="42" priority="49"/>
    <cfRule type="duplicateValues" dxfId="41" priority="48"/>
    <cfRule type="duplicateValues" dxfId="40" priority="47"/>
  </conditionalFormatting>
  <conditionalFormatting sqref="A140">
    <cfRule type="duplicateValues" dxfId="39" priority="29"/>
    <cfRule type="duplicateValues" dxfId="38" priority="30"/>
    <cfRule type="duplicateValues" dxfId="37" priority="31"/>
    <cfRule type="duplicateValues" dxfId="36" priority="32"/>
  </conditionalFormatting>
  <conditionalFormatting sqref="A141:A142 A144">
    <cfRule type="duplicateValues" dxfId="35" priority="37"/>
    <cfRule type="duplicateValues" dxfId="34" priority="36"/>
  </conditionalFormatting>
  <conditionalFormatting sqref="A143">
    <cfRule type="duplicateValues" dxfId="33" priority="33"/>
    <cfRule type="duplicateValues" dxfId="32" priority="34"/>
    <cfRule type="duplicateValues" dxfId="31" priority="35"/>
  </conditionalFormatting>
  <conditionalFormatting sqref="A145:A170">
    <cfRule type="duplicateValues" dxfId="30" priority="38"/>
    <cfRule type="duplicateValues" dxfId="29" priority="39"/>
    <cfRule type="duplicateValues" dxfId="28" priority="40"/>
    <cfRule type="duplicateValues" dxfId="27" priority="41"/>
  </conditionalFormatting>
  <conditionalFormatting sqref="A171">
    <cfRule type="duplicateValues" dxfId="26" priority="28"/>
  </conditionalFormatting>
  <conditionalFormatting sqref="A172:A173">
    <cfRule type="duplicateValues" dxfId="25" priority="27"/>
  </conditionalFormatting>
  <conditionalFormatting sqref="A174 A176:A210 A212:A213 A215:A225">
    <cfRule type="duplicateValues" dxfId="24" priority="26"/>
  </conditionalFormatting>
  <conditionalFormatting sqref="A175">
    <cfRule type="duplicateValues" dxfId="23" priority="25"/>
  </conditionalFormatting>
  <conditionalFormatting sqref="A211">
    <cfRule type="duplicateValues" dxfId="22" priority="24"/>
  </conditionalFormatting>
  <conditionalFormatting sqref="A214">
    <cfRule type="duplicateValues" dxfId="21" priority="23"/>
  </conditionalFormatting>
  <conditionalFormatting sqref="A226">
    <cfRule type="duplicateValues" dxfId="20" priority="20"/>
  </conditionalFormatting>
  <conditionalFormatting sqref="A226:A277">
    <cfRule type="duplicateValues" dxfId="19" priority="19"/>
  </conditionalFormatting>
  <conditionalFormatting sqref="A227">
    <cfRule type="duplicateValues" dxfId="18" priority="21"/>
  </conditionalFormatting>
  <conditionalFormatting sqref="A228:A277">
    <cfRule type="duplicateValues" dxfId="17" priority="22"/>
  </conditionalFormatting>
  <conditionalFormatting sqref="A278">
    <cfRule type="duplicateValues" dxfId="16" priority="17"/>
  </conditionalFormatting>
  <conditionalFormatting sqref="A279">
    <cfRule type="duplicateValues" dxfId="15" priority="18"/>
  </conditionalFormatting>
  <conditionalFormatting sqref="A280:A313">
    <cfRule type="duplicateValues" dxfId="14" priority="16"/>
  </conditionalFormatting>
  <conditionalFormatting sqref="A314:A342">
    <cfRule type="duplicateValues" dxfId="13" priority="14"/>
  </conditionalFormatting>
  <conditionalFormatting sqref="A318">
    <cfRule type="duplicateValues" dxfId="12" priority="13"/>
  </conditionalFormatting>
  <conditionalFormatting sqref="A319:A321">
    <cfRule type="duplicateValues" dxfId="11" priority="12"/>
  </conditionalFormatting>
  <conditionalFormatting sqref="A322:A341">
    <cfRule type="duplicateValues" dxfId="10" priority="15"/>
  </conditionalFormatting>
  <conditionalFormatting sqref="A343:A345">
    <cfRule type="duplicateValues" dxfId="9" priority="11"/>
  </conditionalFormatting>
  <conditionalFormatting sqref="A346:A386">
    <cfRule type="duplicateValues" dxfId="8" priority="9"/>
    <cfRule type="duplicateValues" dxfId="7" priority="10"/>
  </conditionalFormatting>
  <conditionalFormatting sqref="A387:A393">
    <cfRule type="duplicateValues" dxfId="6" priority="8"/>
  </conditionalFormatting>
  <conditionalFormatting sqref="A411:A416">
    <cfRule type="duplicateValues" dxfId="5" priority="7"/>
    <cfRule type="duplicateValues" dxfId="4" priority="6"/>
    <cfRule type="duplicateValues" dxfId="3" priority="5"/>
    <cfRule type="duplicateValues" dxfId="2" priority="4"/>
  </conditionalFormatting>
  <conditionalFormatting sqref="A434:A439">
    <cfRule type="duplicateValues" dxfId="1" priority="3"/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pageSetUpPr fitToPage="1"/>
  </sheetPr>
  <dimension ref="A10:AS22"/>
  <sheetViews>
    <sheetView view="pageBreakPreview" zoomScale="70" zoomScaleSheetLayoutView="70" workbookViewId="0">
      <selection activeCell="C17" sqref="C17:AS17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37" customWidth="1"/>
  </cols>
  <sheetData>
    <row r="10" spans="1:45" ht="18.75" x14ac:dyDescent="0.25">
      <c r="A10" s="112" t="s">
        <v>59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</row>
    <row r="11" spans="1:45" ht="18.75" x14ac:dyDescent="0.25">
      <c r="A11" s="112" t="s">
        <v>299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</row>
    <row r="12" spans="1:45" ht="18.75" x14ac:dyDescent="0.2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 t="s">
        <v>288</v>
      </c>
      <c r="S12" s="112" t="str">
        <f>'Справочник-не смотрим!'!B1</f>
        <v>февраль</v>
      </c>
      <c r="T12" s="112"/>
      <c r="U12" s="112">
        <f>'Справочник-не смотрим!'!B2</f>
        <v>2026</v>
      </c>
      <c r="V12" s="112"/>
      <c r="W12" s="61" t="s">
        <v>289</v>
      </c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</row>
    <row r="14" spans="1:45" ht="31.15" customHeight="1" x14ac:dyDescent="0.25">
      <c r="A14" s="120" t="s">
        <v>0</v>
      </c>
      <c r="B14" s="122" t="s">
        <v>21</v>
      </c>
      <c r="C14" s="113" t="s">
        <v>58</v>
      </c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</row>
    <row r="15" spans="1:45" ht="208.15" customHeight="1" x14ac:dyDescent="0.25">
      <c r="A15" s="121"/>
      <c r="B15" s="122"/>
      <c r="C15" s="39" t="str">
        <f>'Сводная ведомость'!D16</f>
        <v>Вода питьевая негазир. (5 л.)</v>
      </c>
      <c r="D15" s="28" t="str">
        <f>'Сводная ведомость'!E16</f>
        <v>Туалетная бумага "Набережные Челны" (рул.)</v>
      </c>
      <c r="E15" s="28" t="str">
        <f>'Сводная ведомость'!F16</f>
        <v>Чай черный ГОСТ (100 гр.)</v>
      </c>
      <c r="F15" s="28" t="str">
        <f>'Сводная ведомость'!G16</f>
        <v>Чай черный пакетированный (25 пак.)</v>
      </c>
      <c r="G15" s="28" t="str">
        <f>'Сводная ведомость'!H16</f>
        <v xml:space="preserve">Станки для бритья "Джилет Blue II Maximum" однораз. </v>
      </c>
      <c r="H15" s="28" t="str">
        <f>'Сводная ведомость'!I16</f>
        <v>Говядина тушеная ж/б (325 гр. ключ)</v>
      </c>
      <c r="I15" s="28" t="str">
        <f>'Сводная ведомость'!J16</f>
        <v>Колбаса вареная "Докторская" ГОСТ (400 гр.)</v>
      </c>
      <c r="J15" s="28" t="str">
        <f>'Сводная ведомость'!K16</f>
        <v>Зефир Беково (белый, розовый, 250 гр.)</v>
      </c>
      <c r="K15" s="28" t="str">
        <f>'Сводная ведомость'!L16</f>
        <v>Ветчина в ассртименте ж/б (325 гр. ключ)</v>
      </c>
      <c r="L15" s="28" t="str">
        <f>'Сводная ведомость'!M16</f>
        <v>Сыр в ассортименте (200 гр.)</v>
      </c>
      <c r="M15" s="28" t="str">
        <f>'Сводная ведомость'!N16</f>
        <v xml:space="preserve">Вафли в ассортименте (200 гр.) </v>
      </c>
      <c r="N15" s="28" t="str">
        <f>'Сводная ведомость'!O16</f>
        <v>Кофе растворимый черный в мягкой упаковке Monarch (150 г)</v>
      </c>
      <c r="O15" s="28" t="str">
        <f>'Сводная ведомость'!P16</f>
        <v>Джем Махеевъ дой-пак 300 г в ассортименте</v>
      </c>
      <c r="P15" s="28" t="str">
        <f>'Сводная ведомость'!Q16</f>
        <v>Колбаса в/к ГОСТ (400 гр.)</v>
      </c>
      <c r="Q15" s="28" t="str">
        <f>'Сводная ведомость'!R16</f>
        <v>Шпроты в масле ж/б (160 гр., ключ)</v>
      </c>
      <c r="R15" s="28" t="str">
        <f>'Сводная ведомость'!S16</f>
        <v>Прияники с начинкой "Яшкино" 250 гр.</v>
      </c>
      <c r="S15" s="29" t="str">
        <f>'Сводная ведомость'!T16</f>
        <v>Мини - рулеты (175 гр.)</v>
      </c>
      <c r="T15" s="28" t="str">
        <f>'Сводная ведомость'!U16</f>
        <v>Мыло хозяйственное 72%  (200 гр.)</v>
      </c>
      <c r="U15" s="28" t="str">
        <f>'Сводная ведомость'!V16</f>
        <v>Конфеты шоколадные фасованные в ассортименте (250 гр.)</v>
      </c>
      <c r="V15" s="28" t="str">
        <f>'Сводная ведомость'!W16</f>
        <v>Печенье сахарное фасованное (200гр.)</v>
      </c>
      <c r="W15" s="28" t="str">
        <f>'Сводная ведомость'!X16</f>
        <v>Консервы рыбные в ассортименте ж/б (230 гр., ключ)</v>
      </c>
      <c r="X15" s="29" t="str">
        <f>'Сводная ведомость'!Y16</f>
        <v>Освежитель воздуха (200 мл.)</v>
      </c>
      <c r="Y15" s="28" t="str">
        <f>'Сводная ведомость'!Z16</f>
        <v>Жидкое мыло (200 мл.)</v>
      </c>
      <c r="Z15" s="28" t="str">
        <f>'Сводная ведомость'!AA16</f>
        <v>Лукум Беково (250 гр.)</v>
      </c>
      <c r="AA15" s="28" t="str">
        <f>'Сводная ведомость'!AB16</f>
        <v>Мармелад диабетический на фруктозе (200гр.)</v>
      </c>
      <c r="AB15" s="28" t="str">
        <f>'Сводная ведомость'!AC16</f>
        <v>Конфеты диабетические (200 гр.)</v>
      </c>
      <c r="AC15" s="28" t="str">
        <f>'Сводная ведомость'!AD16</f>
        <v>Паштет "Знаток" ж/б (250 гр., ключ)</v>
      </c>
      <c r="AD15" s="28" t="str">
        <f>'Сводная ведомость'!AE16</f>
        <v>Печенье диабетическое "Мария" (250гр.)</v>
      </c>
      <c r="AE15" s="28" t="str">
        <f>'Сводная ведомость'!AF16</f>
        <v>Крекер соленый (180 гр.)</v>
      </c>
      <c r="AF15" s="28" t="str">
        <f>'Сводная ведомость'!AG16</f>
        <v>Печенье детское Бонди Бегемотик (180 гр.)</v>
      </c>
      <c r="AG15" s="28" t="str">
        <f>'Сводная ведомость'!AH16</f>
        <v>Килька Балтийская в томтном соусе 240 г ключ</v>
      </c>
      <c r="AH15" s="28" t="str">
        <f>'Сводная ведомость'!AI16</f>
        <v>Паштет HAME из гусиной печени (105 гр.)</v>
      </c>
      <c r="AI15" s="28" t="str">
        <f>'Сводная ведомость'!AJ16</f>
        <v>Паштет HAME с мясом птицы (105 гр.)</v>
      </c>
      <c r="AJ15" s="28" t="str">
        <f>'Сводная ведомость'!AK16</f>
        <v>Паштет HAME с мясом индейки (105 гр.)</v>
      </c>
      <c r="AK15" s="28" t="str">
        <f>'Сводная ведомость'!AL16</f>
        <v>Мини - кексы (250 гр.)</v>
      </c>
      <c r="AL15" s="28" t="str">
        <f>'Сводная ведомость'!AM16</f>
        <v>Сыр плавленный "Вкуснотеево" (ванночка, 200 гр.)</v>
      </c>
      <c r="AM15" s="28" t="str">
        <f>'Сводная ведомость'!AN16</f>
        <v>Зефир в шоколаде Беково (250 гр.)</v>
      </c>
      <c r="AN15" s="28" t="str">
        <f>'Сводная ведомость'!AO16</f>
        <v>Сахар рафинад (500 гр.)</v>
      </c>
      <c r="AO15" s="28" t="str">
        <f>'Сводная ведомость'!AP16</f>
        <v>Сок в ассортименте (1 л.)</v>
      </c>
      <c r="AP15" s="28" t="str">
        <f>'Сводная ведомость'!AQ16</f>
        <v>Пена для бритья "АРКО" (200мл)</v>
      </c>
      <c r="AQ15" s="28" t="str">
        <f>'Сводная ведомость'!AR16</f>
        <v>Сигареты с фильтром в пачке (20 сигарет)</v>
      </c>
      <c r="AR15" s="28" t="str">
        <f>'Сводная ведомость'!AS16</f>
        <v>Туалетная вода, 200 мл</v>
      </c>
      <c r="AS15" s="28" t="str">
        <f>'Сводная ведомость'!AT16</f>
        <v>Зажигалка</v>
      </c>
    </row>
    <row r="16" spans="1:45" ht="15.75" x14ac:dyDescent="0.25">
      <c r="A16" s="47"/>
      <c r="B16" s="45"/>
      <c r="C16" s="40" t="str">
        <f>'ЗАЯВКА-не смотрим!'!C4</f>
        <v>бут.</v>
      </c>
      <c r="D16" s="4" t="str">
        <f>'ЗАЯВКА-не смотрим!'!C5</f>
        <v>шт.</v>
      </c>
      <c r="E16" s="4" t="str">
        <f>'ЗАЯВКА-не смотрим!'!C6</f>
        <v>упак.</v>
      </c>
      <c r="F16" s="4" t="str">
        <f>'ЗАЯВКА-не смотрим!'!C7</f>
        <v>упак.</v>
      </c>
      <c r="G16" s="4" t="str">
        <f>'ЗАЯВКА-не смотрим!'!C8</f>
        <v>шт.</v>
      </c>
      <c r="H16" s="4" t="str">
        <f>'ЗАЯВКА-не смотрим!'!C9</f>
        <v>шт.</v>
      </c>
      <c r="I16" s="4" t="str">
        <f>'ЗАЯВКА-не смотрим!'!C10</f>
        <v>шт.</v>
      </c>
      <c r="J16" s="4" t="str">
        <f>'ЗАЯВКА-не смотрим!'!C11</f>
        <v>упак.</v>
      </c>
      <c r="K16" s="4" t="str">
        <f>'ЗАЯВКА-не смотрим!'!C12</f>
        <v>шт.</v>
      </c>
      <c r="L16" s="4" t="str">
        <f>'ЗАЯВКА-не смотрим!'!C13</f>
        <v>шт.</v>
      </c>
      <c r="M16" s="4" t="str">
        <f>'ЗАЯВКА-не смотрим!'!C14</f>
        <v>упак.</v>
      </c>
      <c r="N16" s="4" t="str">
        <f>'ЗАЯВКА-не смотрим!'!C15</f>
        <v>шт.</v>
      </c>
      <c r="O16" s="4" t="str">
        <f>'ЗАЯВКА-не смотрим!'!C16</f>
        <v>шт.</v>
      </c>
      <c r="P16" s="4" t="str">
        <f>'ЗАЯВКА-не смотрим!'!C17</f>
        <v>шт.</v>
      </c>
      <c r="Q16" s="4" t="str">
        <f>'ЗАЯВКА-не смотрим!'!C18</f>
        <v>шт.</v>
      </c>
      <c r="R16" s="4" t="str">
        <f>'ЗАЯВКА-не смотрим!'!C19</f>
        <v>упак.</v>
      </c>
      <c r="S16" s="4" t="str">
        <f>'ЗАЯВКА-не смотрим!'!C20</f>
        <v>упак.</v>
      </c>
      <c r="T16" s="4" t="str">
        <f>'ЗАЯВКА-не смотрим!'!C21</f>
        <v>шт.</v>
      </c>
      <c r="U16" s="4" t="str">
        <f>'ЗАЯВКА-не смотрим!'!C22</f>
        <v>упак.</v>
      </c>
      <c r="V16" s="4" t="str">
        <f>'ЗАЯВКА-не смотрим!'!C23</f>
        <v>упак.</v>
      </c>
      <c r="W16" s="4" t="str">
        <f>'ЗАЯВКА-не смотрим!'!C24</f>
        <v>шт.</v>
      </c>
      <c r="X16" s="4" t="str">
        <f>'ЗАЯВКА-не смотрим!'!C25</f>
        <v>шт.</v>
      </c>
      <c r="Y16" s="4" t="str">
        <f>'ЗАЯВКА-не смотрим!'!C26</f>
        <v>шт.</v>
      </c>
      <c r="Z16" s="4" t="str">
        <f>'ЗАЯВКА-не смотрим!'!C27</f>
        <v>упак.</v>
      </c>
      <c r="AA16" s="4" t="str">
        <f>'ЗАЯВКА-не смотрим!'!C28</f>
        <v>упак.</v>
      </c>
      <c r="AB16" s="4" t="str">
        <f>'ЗАЯВКА-не смотрим!'!C29</f>
        <v>упак.</v>
      </c>
      <c r="AC16" s="4" t="str">
        <f>'ЗАЯВКА-не смотрим!'!C30</f>
        <v>шт.</v>
      </c>
      <c r="AD16" s="4" t="str">
        <f>'ЗАЯВКА-не смотрим!'!C31</f>
        <v>упак.</v>
      </c>
      <c r="AE16" s="4" t="str">
        <f>'ЗАЯВКА-не смотрим!'!C32</f>
        <v>упак.</v>
      </c>
      <c r="AF16" s="4" t="str">
        <f>'ЗАЯВКА-не смотрим!'!C33</f>
        <v>упак.</v>
      </c>
      <c r="AG16" s="4" t="str">
        <f>'ЗАЯВКА-не смотрим!'!C34</f>
        <v>шт.</v>
      </c>
      <c r="AH16" s="4" t="str">
        <f>'ЗАЯВКА-не смотрим!'!C35</f>
        <v>шт.</v>
      </c>
      <c r="AI16" s="4" t="str">
        <f>'ЗАЯВКА-не смотрим!'!C36</f>
        <v>шт.</v>
      </c>
      <c r="AJ16" s="4" t="str">
        <f>'ЗАЯВКА-не смотрим!'!C37</f>
        <v>шт.</v>
      </c>
      <c r="AK16" s="4" t="str">
        <f>'ЗАЯВКА-не смотрим!'!C38</f>
        <v>упак.</v>
      </c>
      <c r="AL16" s="4" t="str">
        <f>'ЗАЯВКА-не смотрим!'!C39</f>
        <v>шт.</v>
      </c>
      <c r="AM16" s="4" t="str">
        <f>'ЗАЯВКА-не смотрим!'!C40</f>
        <v>упак.</v>
      </c>
      <c r="AN16" s="4" t="str">
        <f>'ЗАЯВКА-не смотрим!'!C41</f>
        <v>упак.</v>
      </c>
      <c r="AO16" s="4" t="str">
        <f>'ЗАЯВКА-не смотрим!'!C42</f>
        <v>шт.</v>
      </c>
      <c r="AP16" s="4" t="str">
        <f>'ЗАЯВКА-не смотрим!'!C43</f>
        <v>шт.</v>
      </c>
      <c r="AQ16" s="4" t="str">
        <f>'ЗАЯВКА-не смотрим!'!C44</f>
        <v>пач.</v>
      </c>
      <c r="AR16" s="4" t="str">
        <f>'ЗАЯВКА-не смотрим!'!C45</f>
        <v>шт.</v>
      </c>
      <c r="AS16" s="4" t="str">
        <f>'ЗАЯВКА-не смотрим!'!C46</f>
        <v>шт.</v>
      </c>
    </row>
    <row r="17" spans="1:45" ht="18.75" x14ac:dyDescent="0.25">
      <c r="A17" s="25"/>
      <c r="B17" s="43" t="s">
        <v>1</v>
      </c>
      <c r="C17" s="34">
        <v>0</v>
      </c>
      <c r="D17" s="34">
        <v>0</v>
      </c>
      <c r="E17" s="34">
        <v>0</v>
      </c>
      <c r="F17" s="34">
        <v>0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0</v>
      </c>
      <c r="AL17" s="34">
        <v>0</v>
      </c>
      <c r="AM17" s="34">
        <v>0</v>
      </c>
      <c r="AN17" s="34">
        <v>0</v>
      </c>
      <c r="AO17" s="34">
        <v>0</v>
      </c>
      <c r="AP17" s="34">
        <v>0</v>
      </c>
      <c r="AQ17" s="34">
        <v>0</v>
      </c>
      <c r="AR17" s="34">
        <v>0</v>
      </c>
      <c r="AS17" s="34">
        <v>0</v>
      </c>
    </row>
    <row r="21" spans="1:45" ht="15.75" x14ac:dyDescent="0.25">
      <c r="B21" s="63" t="s">
        <v>291</v>
      </c>
      <c r="C21" s="64" t="s">
        <v>300</v>
      </c>
      <c r="I21" s="65"/>
      <c r="J21" s="65"/>
      <c r="K21" s="65"/>
      <c r="L21" s="65"/>
      <c r="M21" s="65"/>
      <c r="N21" s="65"/>
      <c r="O21" s="65"/>
      <c r="R21" s="66"/>
      <c r="S21" s="66"/>
      <c r="T21" s="66"/>
      <c r="U21" s="66"/>
      <c r="V21" s="66"/>
      <c r="W21" s="66"/>
      <c r="X21" s="66"/>
    </row>
    <row r="22" spans="1:45" ht="15.75" x14ac:dyDescent="0.25">
      <c r="C22"/>
      <c r="K22" s="67" t="s">
        <v>293</v>
      </c>
      <c r="U22" s="64" t="s">
        <v>292</v>
      </c>
    </row>
  </sheetData>
  <mergeCells count="7">
    <mergeCell ref="A10:AS10"/>
    <mergeCell ref="A11:AS11"/>
    <mergeCell ref="A14:A15"/>
    <mergeCell ref="B14:B15"/>
    <mergeCell ref="C14:AS14"/>
    <mergeCell ref="S12:T12"/>
    <mergeCell ref="U12:V12"/>
  </mergeCells>
  <printOptions horizontalCentered="1"/>
  <pageMargins left="0.78740157480314965" right="0.39370078740157483" top="0.39370078740157483" bottom="0.39370078740157483" header="0" footer="0"/>
  <pageSetup paperSize="8" scale="3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21</vt:i4>
      </vt:variant>
      <vt:variant>
        <vt:lpstr>Именованные диапазоны</vt:lpstr>
      </vt:variant>
      <vt:variant>
        <vt:i4>18</vt:i4>
      </vt:variant>
    </vt:vector>
  </HeadingPairs>
  <TitlesOfParts>
    <vt:vector size="39" baseType="lpstr">
      <vt:lpstr>Справочник-не смотрим!</vt:lpstr>
      <vt:lpstr>ЗАЯВКА-не смотрим!</vt:lpstr>
      <vt:lpstr>Сводная ведомость</vt:lpstr>
      <vt:lpstr>1-П</vt:lpstr>
      <vt:lpstr>1-С</vt:lpstr>
      <vt:lpstr>2-П</vt:lpstr>
      <vt:lpstr>2-С</vt:lpstr>
      <vt:lpstr>2-СД</vt:lpstr>
      <vt:lpstr>3-П</vt:lpstr>
      <vt:lpstr>3-С</vt:lpstr>
      <vt:lpstr>3-СД</vt:lpstr>
      <vt:lpstr>СРО-П</vt:lpstr>
      <vt:lpstr>СРО-С</vt:lpstr>
      <vt:lpstr>СРО-СД</vt:lpstr>
      <vt:lpstr>ОМ-ЩП</vt:lpstr>
      <vt:lpstr>ОМ-П</vt:lpstr>
      <vt:lpstr>ОМ-С</vt:lpstr>
      <vt:lpstr>ОМ-СД</vt:lpstr>
      <vt:lpstr>ППБ-П</vt:lpstr>
      <vt:lpstr>Общий список проверка на повтор</vt:lpstr>
      <vt:lpstr>ППБ-С</vt:lpstr>
      <vt:lpstr>'1-П'!Область_печати</vt:lpstr>
      <vt:lpstr>'1-С'!Область_печати</vt:lpstr>
      <vt:lpstr>'2-П'!Область_печати</vt:lpstr>
      <vt:lpstr>'2-С'!Область_печати</vt:lpstr>
      <vt:lpstr>'2-СД'!Область_печати</vt:lpstr>
      <vt:lpstr>'3-П'!Область_печати</vt:lpstr>
      <vt:lpstr>'3-С'!Область_печати</vt:lpstr>
      <vt:lpstr>'3-СД'!Область_печати</vt:lpstr>
      <vt:lpstr>'ОМ-П'!Область_печати</vt:lpstr>
      <vt:lpstr>'ОМ-С'!Область_печати</vt:lpstr>
      <vt:lpstr>'ОМ-СД'!Область_печати</vt:lpstr>
      <vt:lpstr>'ОМ-ЩП'!Область_печати</vt:lpstr>
      <vt:lpstr>'ППБ-П'!Область_печати</vt:lpstr>
      <vt:lpstr>'ППБ-С'!Область_печати</vt:lpstr>
      <vt:lpstr>'Сводная ведомость'!Область_печати</vt:lpstr>
      <vt:lpstr>'СРО-П'!Область_печати</vt:lpstr>
      <vt:lpstr>'СРО-С'!Область_печати</vt:lpstr>
      <vt:lpstr>'СРО-СД'!Область_печати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2026-01-29T06:31:06Z</cp:lastPrinted>
  <dcterms:created xsi:type="dcterms:W3CDTF">2024-01-09T20:40:56Z</dcterms:created>
  <dcterms:modified xsi:type="dcterms:W3CDTF">2026-01-29T06:32:58Z</dcterms:modified>
</cp:coreProperties>
</file>