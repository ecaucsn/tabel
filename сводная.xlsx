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tab\"/>
    </mc:Choice>
  </mc:AlternateContent>
  <xr:revisionPtr revIDLastSave="0" documentId="8_{0CD44860-0844-4DD0-B1CD-810EEE6161B7}" xr6:coauthVersionLast="47" xr6:coauthVersionMax="47" xr10:uidLastSave="{00000000-0000-0000-0000-000000000000}"/>
  <bookViews>
    <workbookView xWindow="-120" yWindow="-120" windowWidth="29040" windowHeight="15840" xr2:uid="{A924F904-21CE-4760-8A59-88C4F5D42BE6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35" i="1" l="1"/>
  <c r="AN35" i="1"/>
  <c r="AJ35" i="1"/>
  <c r="AF35" i="1"/>
  <c r="AB35" i="1"/>
  <c r="X35" i="1"/>
  <c r="T35" i="1"/>
  <c r="P35" i="1"/>
  <c r="L35" i="1"/>
  <c r="H35" i="1"/>
  <c r="D35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T18" i="1"/>
  <c r="AT35" i="1" s="1"/>
  <c r="AS18" i="1"/>
  <c r="AS35" i="1" s="1"/>
  <c r="AR18" i="1"/>
  <c r="AQ18" i="1"/>
  <c r="AQ35" i="1" s="1"/>
  <c r="AP18" i="1"/>
  <c r="AP35" i="1" s="1"/>
  <c r="AO18" i="1"/>
  <c r="AO35" i="1" s="1"/>
  <c r="AN18" i="1"/>
  <c r="AM18" i="1"/>
  <c r="AM35" i="1" s="1"/>
  <c r="AL18" i="1"/>
  <c r="AL35" i="1" s="1"/>
  <c r="AK18" i="1"/>
  <c r="AK35" i="1" s="1"/>
  <c r="AJ18" i="1"/>
  <c r="AI18" i="1"/>
  <c r="AI35" i="1" s="1"/>
  <c r="AH18" i="1"/>
  <c r="AH35" i="1" s="1"/>
  <c r="AG18" i="1"/>
  <c r="AG35" i="1" s="1"/>
  <c r="AF18" i="1"/>
  <c r="AE18" i="1"/>
  <c r="AE35" i="1" s="1"/>
  <c r="AD18" i="1"/>
  <c r="AD35" i="1" s="1"/>
  <c r="AC18" i="1"/>
  <c r="AC35" i="1" s="1"/>
  <c r="AB18" i="1"/>
  <c r="AA18" i="1"/>
  <c r="AA35" i="1" s="1"/>
  <c r="Z18" i="1"/>
  <c r="Z35" i="1" s="1"/>
  <c r="Y18" i="1"/>
  <c r="Y35" i="1" s="1"/>
  <c r="X18" i="1"/>
  <c r="W18" i="1"/>
  <c r="W35" i="1" s="1"/>
  <c r="V18" i="1"/>
  <c r="V35" i="1" s="1"/>
  <c r="U18" i="1"/>
  <c r="U35" i="1" s="1"/>
  <c r="T18" i="1"/>
  <c r="S18" i="1"/>
  <c r="S35" i="1" s="1"/>
  <c r="R18" i="1"/>
  <c r="R35" i="1" s="1"/>
  <c r="Q18" i="1"/>
  <c r="Q35" i="1" s="1"/>
  <c r="P18" i="1"/>
  <c r="O18" i="1"/>
  <c r="O35" i="1" s="1"/>
  <c r="N18" i="1"/>
  <c r="N35" i="1" s="1"/>
  <c r="M18" i="1"/>
  <c r="M35" i="1" s="1"/>
  <c r="L18" i="1"/>
  <c r="K18" i="1"/>
  <c r="K35" i="1" s="1"/>
  <c r="J18" i="1"/>
  <c r="J35" i="1" s="1"/>
  <c r="I18" i="1"/>
  <c r="I35" i="1" s="1"/>
  <c r="H18" i="1"/>
  <c r="G18" i="1"/>
  <c r="G35" i="1" s="1"/>
  <c r="F18" i="1"/>
  <c r="F35" i="1" s="1"/>
  <c r="E18" i="1"/>
  <c r="E35" i="1" s="1"/>
  <c r="D18" i="1"/>
  <c r="C18" i="1"/>
  <c r="C35" i="1" s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U13" i="1"/>
  <c r="S13" i="1"/>
</calcChain>
</file>

<file path=xl/sharedStrings.xml><?xml version="1.0" encoding="utf-8"?>
<sst xmlns="http://schemas.openxmlformats.org/spreadsheetml/2006/main" count="28" uniqueCount="28">
  <si>
    <t>СВОДНАЯ ВЕДОМОСТЬ</t>
  </si>
  <si>
    <t xml:space="preserve">на обеспечение продуктами питания и средствами личной гигиены за счет личных средств получателей социальных услуг </t>
  </si>
  <si>
    <t>ГАУСО ПО «Сосновский психоневрологический интернат»</t>
  </si>
  <si>
    <t>на</t>
  </si>
  <si>
    <t>года.</t>
  </si>
  <si>
    <t>№ п/п</t>
  </si>
  <si>
    <t>Наименование отделения</t>
  </si>
  <si>
    <t>Количество ПСУ</t>
  </si>
  <si>
    <t>Наименование товара</t>
  </si>
  <si>
    <t>чел.</t>
  </si>
  <si>
    <t>Отд. общего типа №1 (полный)</t>
  </si>
  <si>
    <t>Отд. общего типа №1 (сокращенный)</t>
  </si>
  <si>
    <t>Отд. общего типа №2 (полный)</t>
  </si>
  <si>
    <t>Отд. общего типа №2 (сокращенный)</t>
  </si>
  <si>
    <t>Отд. общего типа №2 (сах. диабет)</t>
  </si>
  <si>
    <t>Отд. общего типа №3 (полный)</t>
  </si>
  <si>
    <t>Отд. общего типа №3 (сокращенный)</t>
  </si>
  <si>
    <t>Отд. общего типа №3 (сах. диабет)</t>
  </si>
  <si>
    <t>Соц.-реабилитац отд. (полный)</t>
  </si>
  <si>
    <t>Соц.-реабилитац отд. (сокращенный)</t>
  </si>
  <si>
    <t>Соц.-реабилитац отд. (сах. диабет)</t>
  </si>
  <si>
    <t>Отд. «Милосердие» (щадящее питание)</t>
  </si>
  <si>
    <t>Отд. «Милосердие» (полный)</t>
  </si>
  <si>
    <t>Отд. «Милосердие» (сокращенный)</t>
  </si>
  <si>
    <t>Отд. «Милосердие» (сах. диабет)</t>
  </si>
  <si>
    <t>16 отд ППБ (полный)</t>
  </si>
  <si>
    <t>16 отд ППБ (сокращенный)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</si>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</sst>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6"/>
      <color rgb="FF9C5700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3" borderId="1" xfId="2" applyFont="1" applyBorder="1" applyAlignment="1">
      <alignment horizontal="center" vertical="center" textRotation="90"/>
    </xf>
    <xf numFmtId="2" fontId="6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3" borderId="4" xfId="2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textRotation="90" wrapText="1"/>
    </xf>
    <xf numFmtId="0" fontId="6" fillId="0" borderId="6" xfId="0" applyFont="1" applyBorder="1" applyAlignment="1">
      <alignment horizontal="center" textRotation="90" wrapText="1"/>
    </xf>
    <xf numFmtId="0" fontId="1" fillId="2" borderId="6" xfId="1" applyBorder="1" applyAlignment="1">
      <alignment horizontal="center" textRotation="90" wrapText="1"/>
    </xf>
    <xf numFmtId="0" fontId="8" fillId="0" borderId="6" xfId="0" applyFont="1" applyBorder="1" applyAlignment="1">
      <alignment horizontal="center" textRotation="90" wrapText="1"/>
    </xf>
    <xf numFmtId="0" fontId="7" fillId="3" borderId="7" xfId="2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justify" vertical="center" wrapText="1"/>
    </xf>
    <xf numFmtId="0" fontId="7" fillId="4" borderId="10" xfId="2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justify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3" borderId="10" xfId="2" applyFont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5" borderId="10" xfId="2" applyFont="1" applyFill="1" applyBorder="1" applyAlignment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0" fontId="7" fillId="3" borderId="5" xfId="2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7" fillId="5" borderId="13" xfId="2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7" fillId="3" borderId="4" xfId="2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7" fillId="3" borderId="0" xfId="2" applyFont="1"/>
  </cellXfs>
  <cellStyles count="3">
    <cellStyle name="Нейтральный" xfId="2" builtinId="28"/>
    <cellStyle name="Обычный" xfId="0" builtinId="0"/>
    <cellStyle name="Хороший" xfId="1" builtinId="26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152400</xdr:colOff>
      <xdr:row>0</xdr:row>
      <xdr:rowOff>0</xdr:rowOff>
    </xdr:from>
    <xdr:to>
      <xdr:col>46</xdr:col>
      <xdr:colOff>0</xdr:colOff>
      <xdr:row>8</xdr:row>
      <xdr:rowOff>76200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2C2892D2-A97B-4AFF-BA42-DBBEB1FD67FE}"/>
            </a:ext>
          </a:extLst>
        </xdr:cNvPr>
        <xdr:cNvSpPr txBox="1">
          <a:spLocks noChangeArrowheads="1"/>
        </xdr:cNvSpPr>
      </xdr:nvSpPr>
      <xdr:spPr bwMode="auto">
        <a:xfrm>
          <a:off x="17287875" y="0"/>
          <a:ext cx="3076575" cy="2209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«____»_________2025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cuments\tab\&#1060;&#1077;&#1074;&#1088;&#1072;&#1083;&#1100;-2026.xlsx" TargetMode="External"/><Relationship Id="rId1" Type="http://schemas.openxmlformats.org/officeDocument/2006/relationships/externalLinkPath" Target="&#1060;&#1077;&#1074;&#1088;&#1072;&#1083;&#1100;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правочник-не смотрим!"/>
      <sheetName val="ЗАЯВКА-не смотрим!"/>
      <sheetName val="Сводная ведомость"/>
      <sheetName val="1-П"/>
      <sheetName val="1-С"/>
      <sheetName val="2-П"/>
      <sheetName val="2-С"/>
      <sheetName val="2-СД"/>
      <sheetName val="3-П"/>
      <sheetName val="3-С"/>
      <sheetName val="3-СД"/>
      <sheetName val="СРО-П"/>
      <sheetName val="СРО-С"/>
      <sheetName val="СРО-СД"/>
      <sheetName val="ОМ-ЩП"/>
      <sheetName val="ОМ-П"/>
      <sheetName val="ОМ-С"/>
      <sheetName val="ОМ-СД"/>
      <sheetName val="ППБ-П"/>
      <sheetName val="Общий список проверка на повтор"/>
      <sheetName val="ППБ-С"/>
    </sheetNames>
    <sheetDataSet>
      <sheetData sheetId="0">
        <row r="1">
          <cell r="B1" t="str">
            <v>февраль</v>
          </cell>
        </row>
        <row r="2">
          <cell r="B2">
            <v>2026</v>
          </cell>
        </row>
      </sheetData>
      <sheetData sheetId="1">
        <row r="4">
          <cell r="B4" t="str">
            <v>Вода питьевая негазир. (5 л.)</v>
          </cell>
          <cell r="C4" t="str">
            <v>бут.</v>
          </cell>
        </row>
        <row r="5">
          <cell r="B5" t="str">
            <v>Туалетная бумага "Набережные Челны" (рул.)</v>
          </cell>
          <cell r="C5" t="str">
            <v>шт.</v>
          </cell>
        </row>
        <row r="6">
          <cell r="B6" t="str">
            <v>Чай черный ГОСТ (100 гр.)</v>
          </cell>
          <cell r="C6" t="str">
            <v>упак.</v>
          </cell>
        </row>
        <row r="7">
          <cell r="B7" t="str">
            <v>Чай черный пакетированный (25 пак.)</v>
          </cell>
          <cell r="C7" t="str">
            <v>упак.</v>
          </cell>
        </row>
        <row r="8">
          <cell r="B8" t="str">
            <v xml:space="preserve">Станки для бритья "Джилет Blue II Maximum" однораз. </v>
          </cell>
          <cell r="C8" t="str">
            <v>шт.</v>
          </cell>
        </row>
        <row r="9">
          <cell r="B9" t="str">
            <v>Говядина тушеная ж/б (325 гр. ключ)</v>
          </cell>
          <cell r="C9" t="str">
            <v>шт.</v>
          </cell>
        </row>
        <row r="10">
          <cell r="B10" t="str">
            <v>Колбаса вареная "Докторская" ГОСТ (400 гр.)</v>
          </cell>
          <cell r="C10" t="str">
            <v>шт.</v>
          </cell>
        </row>
        <row r="11">
          <cell r="B11" t="str">
            <v>Зефир Беково (белый, розовый, 250 гр.)</v>
          </cell>
          <cell r="C11" t="str">
            <v>упак.</v>
          </cell>
        </row>
        <row r="12">
          <cell r="B12" t="str">
            <v>Ветчина в ассртименте ж/б (325 гр. ключ)</v>
          </cell>
          <cell r="C12" t="str">
            <v>шт.</v>
          </cell>
        </row>
        <row r="13">
          <cell r="B13" t="str">
            <v>Сыр в ассортименте (200 гр.)</v>
          </cell>
          <cell r="C13" t="str">
            <v>шт.</v>
          </cell>
        </row>
        <row r="14">
          <cell r="B14" t="str">
            <v xml:space="preserve">Вафли в ассортименте (200 гр.) </v>
          </cell>
          <cell r="C14" t="str">
            <v>упак.</v>
          </cell>
        </row>
        <row r="15">
          <cell r="B15" t="str">
            <v>Кофе растворимый черный в мягкой упаковке Monarch (150 г)</v>
          </cell>
          <cell r="C15" t="str">
            <v>шт.</v>
          </cell>
        </row>
        <row r="16">
          <cell r="B16" t="str">
            <v>Джем Махеевъ дой-пак 300 г в ассортименте</v>
          </cell>
          <cell r="C16" t="str">
            <v>шт.</v>
          </cell>
        </row>
        <row r="17">
          <cell r="B17" t="str">
            <v>Колбаса в/к ГОСТ (400 гр.)</v>
          </cell>
          <cell r="C17" t="str">
            <v>шт.</v>
          </cell>
        </row>
        <row r="18">
          <cell r="B18" t="str">
            <v>Шпроты в масле ж/б (160 гр., ключ)</v>
          </cell>
          <cell r="C18" t="str">
            <v>шт.</v>
          </cell>
        </row>
        <row r="19">
          <cell r="B19" t="str">
            <v>Прияники с начинкой "Яшкино" 250 гр.</v>
          </cell>
          <cell r="C19" t="str">
            <v>упак.</v>
          </cell>
        </row>
        <row r="20">
          <cell r="B20" t="str">
            <v>Мини - рулеты (175 гр.)</v>
          </cell>
          <cell r="C20" t="str">
            <v>упак.</v>
          </cell>
        </row>
        <row r="21">
          <cell r="B21" t="str">
            <v>Мыло хозяйственное 72%  (200 гр.)</v>
          </cell>
          <cell r="C21" t="str">
            <v>шт.</v>
          </cell>
        </row>
        <row r="22">
          <cell r="B22" t="str">
            <v>Конфеты шоколадные фасованные в ассортименте (250 гр.)</v>
          </cell>
          <cell r="C22" t="str">
            <v>упак.</v>
          </cell>
        </row>
        <row r="23">
          <cell r="B23" t="str">
            <v>Печенье сахарное фасованное (200гр.)</v>
          </cell>
          <cell r="C23" t="str">
            <v>упак.</v>
          </cell>
        </row>
        <row r="24">
          <cell r="B24" t="str">
            <v>Консервы рыбные в ассортименте ж/б (230 гр., ключ)</v>
          </cell>
          <cell r="C24" t="str">
            <v>шт.</v>
          </cell>
        </row>
        <row r="25">
          <cell r="B25" t="str">
            <v>Освежитель воздуха (200 мл.)</v>
          </cell>
          <cell r="C25" t="str">
            <v>шт.</v>
          </cell>
        </row>
        <row r="26">
          <cell r="B26" t="str">
            <v>Жидкое мыло (200 мл.)</v>
          </cell>
          <cell r="C26" t="str">
            <v>шт.</v>
          </cell>
        </row>
        <row r="27">
          <cell r="B27" t="str">
            <v>Лукум Беково (250 гр.)</v>
          </cell>
          <cell r="C27" t="str">
            <v>упак.</v>
          </cell>
        </row>
        <row r="28">
          <cell r="B28" t="str">
            <v>Мармелад диабетический на фруктозе (200гр.)</v>
          </cell>
          <cell r="C28" t="str">
            <v>упак.</v>
          </cell>
        </row>
        <row r="29">
          <cell r="B29" t="str">
            <v>Конфеты диабетические (200 гр.)</v>
          </cell>
          <cell r="C29" t="str">
            <v>упак.</v>
          </cell>
        </row>
        <row r="30">
          <cell r="B30" t="str">
            <v>Паштет "Знаток" ж/б (250 гр., ключ)</v>
          </cell>
          <cell r="C30" t="str">
            <v>шт.</v>
          </cell>
        </row>
        <row r="31">
          <cell r="B31" t="str">
            <v>Печенье диабетическое "Мария" (250гр.)</v>
          </cell>
          <cell r="C31" t="str">
            <v>упак.</v>
          </cell>
        </row>
        <row r="32">
          <cell r="B32" t="str">
            <v>Крекер соленый (180 гр.)</v>
          </cell>
          <cell r="C32" t="str">
            <v>упак.</v>
          </cell>
        </row>
        <row r="33">
          <cell r="B33" t="str">
            <v>Печенье детское Бонди Бегемотик (180 гр.)</v>
          </cell>
          <cell r="C33" t="str">
            <v>упак.</v>
          </cell>
        </row>
        <row r="34">
          <cell r="B34" t="str">
            <v>Килька Балтийская в томтном соусе 240 г ключ</v>
          </cell>
          <cell r="C34" t="str">
            <v>шт.</v>
          </cell>
        </row>
        <row r="35">
          <cell r="B35" t="str">
            <v>Паштет HAME из гусиной печени (105 гр.)</v>
          </cell>
          <cell r="C35" t="str">
            <v>шт.</v>
          </cell>
        </row>
        <row r="36">
          <cell r="B36" t="str">
            <v>Паштет HAME с мясом птицы (105 гр.)</v>
          </cell>
          <cell r="C36" t="str">
            <v>шт.</v>
          </cell>
        </row>
        <row r="37">
          <cell r="B37" t="str">
            <v>Паштет HAME с мясом индейки (105 гр.)</v>
          </cell>
          <cell r="C37" t="str">
            <v>шт.</v>
          </cell>
        </row>
        <row r="38">
          <cell r="B38" t="str">
            <v>Мини - кексы (250 гр.)</v>
          </cell>
          <cell r="C38" t="str">
            <v>упак.</v>
          </cell>
        </row>
        <row r="39">
          <cell r="B39" t="str">
            <v>Сыр плавленный "Вкуснотеево" (ванночка, 200 гр.)</v>
          </cell>
          <cell r="C39" t="str">
            <v>шт.</v>
          </cell>
        </row>
        <row r="40">
          <cell r="B40" t="str">
            <v>Зефир в шоколаде Беково (250 гр.)</v>
          </cell>
          <cell r="C40" t="str">
            <v>упак.</v>
          </cell>
        </row>
        <row r="41">
          <cell r="B41" t="str">
            <v>Сахар рафинад (500 гр.)</v>
          </cell>
          <cell r="C41" t="str">
            <v>упак.</v>
          </cell>
        </row>
        <row r="42">
          <cell r="B42" t="str">
            <v>Сок в ассортименте (1 л.)</v>
          </cell>
          <cell r="C42" t="str">
            <v>шт.</v>
          </cell>
        </row>
        <row r="43">
          <cell r="B43" t="str">
            <v>Пена для бритья "АРКО" (200мл)</v>
          </cell>
          <cell r="C43" t="str">
            <v>шт.</v>
          </cell>
        </row>
        <row r="44">
          <cell r="B44" t="str">
            <v>Сигареты с фильтром в пачке (20 сигарет)</v>
          </cell>
          <cell r="C44" t="str">
            <v>пач.</v>
          </cell>
        </row>
        <row r="45">
          <cell r="B45" t="str">
            <v>Туалетная вода, 200 мл</v>
          </cell>
          <cell r="C45" t="str">
            <v>шт.</v>
          </cell>
        </row>
        <row r="46">
          <cell r="B46" t="str">
            <v>Зажигалка</v>
          </cell>
          <cell r="C46" t="str">
            <v>шт.</v>
          </cell>
        </row>
      </sheetData>
      <sheetData sheetId="2"/>
      <sheetData sheetId="3">
        <row r="13">
          <cell r="B13" t="str">
            <v>Ажнов Юрий Николаевич</v>
          </cell>
        </row>
        <row r="14">
          <cell r="B14" t="str">
            <v xml:space="preserve">Айвазян Радик Христович                           </v>
          </cell>
        </row>
        <row r="15">
          <cell r="B15" t="str">
            <v>Артёмов Валерий Николаевич</v>
          </cell>
        </row>
        <row r="16">
          <cell r="B16" t="str">
            <v>Алимов Андрей Анатольевич</v>
          </cell>
        </row>
        <row r="17">
          <cell r="B17" t="str">
            <v>Шаронов Леонид Иванович</v>
          </cell>
        </row>
        <row r="18">
          <cell r="B18" t="str">
            <v xml:space="preserve">Байков Александр Владимирович            </v>
          </cell>
        </row>
        <row r="19">
          <cell r="B19" t="str">
            <v>Григорьев Валерий Анатольевич</v>
          </cell>
        </row>
        <row r="20">
          <cell r="B20" t="str">
            <v>Данишкин Валерий Иванович</v>
          </cell>
        </row>
        <row r="21">
          <cell r="B21" t="str">
            <v xml:space="preserve">Емельянов Виктор Николаевич </v>
          </cell>
        </row>
        <row r="22">
          <cell r="B22" t="str">
            <v>Кухов Олег Александрович</v>
          </cell>
        </row>
        <row r="23">
          <cell r="B23" t="str">
            <v>Козлов Алексей Андреевич</v>
          </cell>
        </row>
        <row r="24">
          <cell r="B24" t="str">
            <v xml:space="preserve">Меньшов Василий Иванович                        </v>
          </cell>
        </row>
        <row r="25">
          <cell r="B25" t="str">
            <v>Марин Сергей Анатольевич</v>
          </cell>
        </row>
        <row r="26">
          <cell r="B26" t="str">
            <v>Наумов Виталий Николаевич</v>
          </cell>
        </row>
        <row r="27">
          <cell r="B27" t="str">
            <v xml:space="preserve">Пережогин Виталий Петрович                     </v>
          </cell>
        </row>
        <row r="28">
          <cell r="B28" t="str">
            <v>Потапов Петр Степанович</v>
          </cell>
        </row>
        <row r="29">
          <cell r="B29" t="str">
            <v>Петросян Виктор Вартанович</v>
          </cell>
        </row>
        <row r="30">
          <cell r="B30" t="str">
            <v>Путютин Борис Анатольевич</v>
          </cell>
        </row>
        <row r="31">
          <cell r="B31" t="str">
            <v>Ратников Михаил Александрович</v>
          </cell>
        </row>
        <row r="32">
          <cell r="B32" t="str">
            <v>Рыбчинский Василий Васильевич</v>
          </cell>
        </row>
        <row r="33">
          <cell r="B33" t="str">
            <v xml:space="preserve">Розмовенко Владислав Михайлович            </v>
          </cell>
        </row>
        <row r="34">
          <cell r="B34" t="str">
            <v>Ревдов Вячеслав Анатольевич</v>
          </cell>
        </row>
        <row r="35">
          <cell r="B35" t="str">
            <v xml:space="preserve">Степанов Дмитрий Алексеевич                    </v>
          </cell>
        </row>
        <row r="36">
          <cell r="B36" t="str">
            <v>Скляров Владимир Владимирович</v>
          </cell>
        </row>
        <row r="37">
          <cell r="B37" t="str">
            <v xml:space="preserve">Стульников Александр Сергеевич                </v>
          </cell>
        </row>
        <row r="38">
          <cell r="B38" t="str">
            <v>Теплов Александр Иванович</v>
          </cell>
        </row>
        <row r="39">
          <cell r="B39" t="str">
            <v>Токарев Алексей Иванович</v>
          </cell>
        </row>
        <row r="40">
          <cell r="B40" t="str">
            <v>Трещев Николай Викторович</v>
          </cell>
        </row>
        <row r="41">
          <cell r="B41" t="str">
            <v>Филин Сергей Николаевич</v>
          </cell>
        </row>
        <row r="42">
          <cell r="B42" t="str">
            <v>Чуйков Валерий Михайлович</v>
          </cell>
        </row>
        <row r="43">
          <cell r="B43" t="str">
            <v>Зайцев Сергей Николаевич</v>
          </cell>
        </row>
        <row r="44">
          <cell r="B44" t="str">
            <v>Войлочников Олег Викторович</v>
          </cell>
        </row>
        <row r="45">
          <cell r="B45" t="str">
            <v>Дёмин Иван Андреевич</v>
          </cell>
        </row>
        <row r="46">
          <cell r="B46" t="str">
            <v>Чопоров Николай Иванович</v>
          </cell>
        </row>
        <row r="47">
          <cell r="B47" t="str">
            <v>Пензин Петр Андреевич</v>
          </cell>
        </row>
        <row r="48">
          <cell r="B48" t="str">
            <v>Елисеев Александр Васильевич</v>
          </cell>
        </row>
        <row r="49">
          <cell r="B49" t="str">
            <v>Древин Виталий Борисович</v>
          </cell>
        </row>
        <row r="50">
          <cell r="B50" t="str">
            <v>Голиков Олег Викторович</v>
          </cell>
        </row>
        <row r="51">
          <cell r="B51" t="str">
            <v xml:space="preserve">Яваев Рефат Шахмярдянович                     </v>
          </cell>
        </row>
        <row r="52">
          <cell r="C52">
            <v>78</v>
          </cell>
          <cell r="D52">
            <v>39</v>
          </cell>
          <cell r="E52">
            <v>39</v>
          </cell>
          <cell r="F52">
            <v>0</v>
          </cell>
          <cell r="G52">
            <v>195</v>
          </cell>
          <cell r="H52">
            <v>39</v>
          </cell>
          <cell r="I52">
            <v>39</v>
          </cell>
          <cell r="J52">
            <v>0</v>
          </cell>
          <cell r="K52">
            <v>39</v>
          </cell>
          <cell r="L52">
            <v>39</v>
          </cell>
          <cell r="M52">
            <v>39</v>
          </cell>
          <cell r="N52">
            <v>0</v>
          </cell>
          <cell r="O52">
            <v>39</v>
          </cell>
          <cell r="P52">
            <v>39</v>
          </cell>
          <cell r="Q52">
            <v>0</v>
          </cell>
          <cell r="R52">
            <v>0</v>
          </cell>
          <cell r="S52">
            <v>39</v>
          </cell>
          <cell r="T52">
            <v>0</v>
          </cell>
          <cell r="U52">
            <v>39</v>
          </cell>
          <cell r="V52">
            <v>39</v>
          </cell>
          <cell r="W52">
            <v>0</v>
          </cell>
          <cell r="X52">
            <v>0</v>
          </cell>
          <cell r="Y52">
            <v>39</v>
          </cell>
          <cell r="Z52">
            <v>0</v>
          </cell>
          <cell r="AA52">
            <v>0</v>
          </cell>
          <cell r="AB52">
            <v>0</v>
          </cell>
          <cell r="AC52">
            <v>39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39</v>
          </cell>
          <cell r="AO52">
            <v>0</v>
          </cell>
          <cell r="AP52">
            <v>0</v>
          </cell>
          <cell r="AQ52">
            <v>500</v>
          </cell>
          <cell r="AR52">
            <v>0</v>
          </cell>
          <cell r="AS52">
            <v>0</v>
          </cell>
        </row>
      </sheetData>
      <sheetData sheetId="4">
        <row r="17">
          <cell r="B17" t="str">
            <v>Демочкин Валерий Алексеевич</v>
          </cell>
        </row>
        <row r="18">
          <cell r="B18" t="str">
            <v xml:space="preserve">Плеханов Вадим Викторович                       </v>
          </cell>
        </row>
        <row r="19">
          <cell r="B19" t="str">
            <v>Туманов Виталий Михайлович</v>
          </cell>
        </row>
        <row r="20">
          <cell r="B20" t="str">
            <v>Маврин Александр Алексеевич</v>
          </cell>
        </row>
        <row r="21">
          <cell r="B21" t="str">
            <v xml:space="preserve">Липин Василий Васильевич                           </v>
          </cell>
        </row>
        <row r="22">
          <cell r="B22" t="str">
            <v>Худин Геннадий Александрович</v>
          </cell>
        </row>
        <row r="23">
          <cell r="B23" t="str">
            <v>Шкренин Анатолий Дмитриевич</v>
          </cell>
        </row>
        <row r="24">
          <cell r="B24" t="str">
            <v>Вишняков Михаил Владимирович</v>
          </cell>
        </row>
        <row r="25">
          <cell r="B25" t="str">
            <v>Малышев Михаил Александрович</v>
          </cell>
        </row>
        <row r="26">
          <cell r="B26" t="str">
            <v>Горшунов Павел Владимирович</v>
          </cell>
        </row>
        <row r="27">
          <cell r="B27" t="str">
            <v>Берестовой Эдуард Николаевич</v>
          </cell>
        </row>
        <row r="28">
          <cell r="B28" t="str">
            <v>Арюткин Виталий Анатольевич</v>
          </cell>
        </row>
        <row r="29">
          <cell r="B29" t="str">
            <v>Калтахчан Армен Фелекси</v>
          </cell>
        </row>
        <row r="30">
          <cell r="B30" t="str">
            <v>Мартяхин Андрей Николаевич</v>
          </cell>
        </row>
        <row r="31">
          <cell r="B31" t="str">
            <v>Трифонов Игорь Николаевич</v>
          </cell>
        </row>
        <row r="32">
          <cell r="B32" t="str">
            <v>Белов Петр Игнатьевич</v>
          </cell>
        </row>
        <row r="33">
          <cell r="B33" t="str">
            <v>Карпунин Юрий Степанович</v>
          </cell>
        </row>
        <row r="34">
          <cell r="B34" t="str">
            <v>Кучин Алексей Николаевич</v>
          </cell>
        </row>
        <row r="35">
          <cell r="B35" t="str">
            <v>Сосрокин Иван Петрович</v>
          </cell>
        </row>
        <row r="36">
          <cell r="B36" t="str">
            <v>Герасимов Александр Геннадьевич</v>
          </cell>
        </row>
        <row r="37">
          <cell r="B37" t="str">
            <v>Селиверстов Анатолий Алексеевич</v>
          </cell>
        </row>
        <row r="38">
          <cell r="B38" t="str">
            <v>Аббакумов Алексей Александрович</v>
          </cell>
        </row>
        <row r="39">
          <cell r="B39" t="str">
            <v>Алиев Боговдин Омарович</v>
          </cell>
        </row>
        <row r="40">
          <cell r="B40" t="str">
            <v>Бочкарев Владимир Петрович</v>
          </cell>
        </row>
        <row r="41">
          <cell r="B41" t="str">
            <v>Волков Вячеслав Иванович</v>
          </cell>
        </row>
        <row r="42">
          <cell r="B42" t="str">
            <v>Голяков Владимир Иванович</v>
          </cell>
        </row>
        <row r="43">
          <cell r="B43" t="str">
            <v>Калугин Владимир Викторович</v>
          </cell>
        </row>
        <row r="44">
          <cell r="B44" t="str">
            <v>Курносов Александр Алексеевич</v>
          </cell>
        </row>
        <row r="45">
          <cell r="B45" t="str">
            <v>Кузнецов Константин Викторович</v>
          </cell>
        </row>
        <row r="46">
          <cell r="B46" t="str">
            <v>Кузнецов Валерий Иванович</v>
          </cell>
        </row>
        <row r="47">
          <cell r="B47" t="str">
            <v>Макрашин Михаил Дмитриевич</v>
          </cell>
        </row>
        <row r="48">
          <cell r="B48" t="str">
            <v>Оськин Михаил Леонидович</v>
          </cell>
        </row>
        <row r="49">
          <cell r="B49" t="str">
            <v>Полозов Александр Николаевич</v>
          </cell>
        </row>
        <row r="50">
          <cell r="B50" t="str">
            <v>Спирин Виктор Борисович</v>
          </cell>
        </row>
        <row r="51">
          <cell r="B51" t="str">
            <v>Свинухов Александр Николаевич</v>
          </cell>
        </row>
        <row r="52">
          <cell r="B52" t="str">
            <v>Смирнов Владимир Александрович</v>
          </cell>
        </row>
        <row r="53">
          <cell r="B53" t="str">
            <v>Тихонов Валерий Юрьевич</v>
          </cell>
        </row>
        <row r="54">
          <cell r="B54" t="str">
            <v>Платонов Сергей Алексеевич</v>
          </cell>
        </row>
        <row r="55">
          <cell r="C55">
            <v>76</v>
          </cell>
          <cell r="D55">
            <v>38</v>
          </cell>
          <cell r="E55">
            <v>38</v>
          </cell>
          <cell r="F55">
            <v>0</v>
          </cell>
          <cell r="G55">
            <v>190</v>
          </cell>
          <cell r="H55">
            <v>38</v>
          </cell>
          <cell r="I55">
            <v>38</v>
          </cell>
          <cell r="J55">
            <v>0</v>
          </cell>
          <cell r="K55">
            <v>38</v>
          </cell>
          <cell r="L55">
            <v>38</v>
          </cell>
          <cell r="M55">
            <v>38</v>
          </cell>
          <cell r="N55">
            <v>0</v>
          </cell>
          <cell r="O55">
            <v>0</v>
          </cell>
          <cell r="P55">
            <v>38</v>
          </cell>
          <cell r="Q55">
            <v>0</v>
          </cell>
          <cell r="R55">
            <v>0</v>
          </cell>
          <cell r="S55">
            <v>38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38</v>
          </cell>
          <cell r="Z55">
            <v>0</v>
          </cell>
          <cell r="AA55">
            <v>0</v>
          </cell>
          <cell r="AB55">
            <v>0</v>
          </cell>
          <cell r="AC55">
            <v>38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38</v>
          </cell>
          <cell r="AO55">
            <v>0</v>
          </cell>
          <cell r="AP55">
            <v>0</v>
          </cell>
          <cell r="AQ55">
            <v>320</v>
          </cell>
          <cell r="AR55">
            <v>0</v>
          </cell>
          <cell r="AS55">
            <v>0</v>
          </cell>
        </row>
      </sheetData>
      <sheetData sheetId="5">
        <row r="17">
          <cell r="B17" t="str">
            <v>Алексеев Сергей Борисович</v>
          </cell>
        </row>
        <row r="18">
          <cell r="B18" t="str">
            <v>Алатырев Виктор Фёдорович</v>
          </cell>
        </row>
        <row r="19">
          <cell r="B19" t="str">
            <v>Батраков Владимир Анатольевич</v>
          </cell>
        </row>
        <row r="20">
          <cell r="B20" t="str">
            <v>Белокуров Александр Владимирович</v>
          </cell>
        </row>
        <row r="21">
          <cell r="B21" t="str">
            <v>Беспалов Владимир Михайлович</v>
          </cell>
        </row>
        <row r="22">
          <cell r="B22" t="str">
            <v>Болдарев Сергей Викторович</v>
          </cell>
        </row>
        <row r="23">
          <cell r="B23" t="str">
            <v>Ванин Сергей Валерьевич</v>
          </cell>
        </row>
        <row r="24">
          <cell r="B24" t="str">
            <v>Лакехин Станислав Олегович</v>
          </cell>
        </row>
        <row r="25">
          <cell r="B25" t="str">
            <v>Дубровин Александр Егорович</v>
          </cell>
        </row>
        <row r="26">
          <cell r="B26" t="str">
            <v>Еремин Александр Борисович</v>
          </cell>
        </row>
        <row r="27">
          <cell r="B27" t="str">
            <v>Емельянов Максим Сергеевич</v>
          </cell>
        </row>
        <row r="28">
          <cell r="B28" t="str">
            <v>Жидяев Анатолий Александрович</v>
          </cell>
        </row>
        <row r="29">
          <cell r="B29" t="str">
            <v>Игонин Евгений Николаевич</v>
          </cell>
        </row>
        <row r="30">
          <cell r="B30" t="str">
            <v>Киселев Михаил Иванович</v>
          </cell>
        </row>
        <row r="31">
          <cell r="B31" t="str">
            <v>Климов Дмитрий Петрович</v>
          </cell>
        </row>
        <row r="32">
          <cell r="B32" t="str">
            <v>Коженков Юрий Анатольевич</v>
          </cell>
        </row>
        <row r="33">
          <cell r="B33" t="str">
            <v>Кузин Вячеслав Петрович</v>
          </cell>
        </row>
        <row r="34">
          <cell r="B34" t="str">
            <v>Мальцев Борис Максимович</v>
          </cell>
        </row>
        <row r="35">
          <cell r="B35" t="str">
            <v>Миняев Виктор Васильевич</v>
          </cell>
        </row>
        <row r="36">
          <cell r="B36" t="str">
            <v>Митин Виктор Иванович</v>
          </cell>
        </row>
        <row r="37">
          <cell r="B37" t="str">
            <v>Моисеев Антон Васильевич</v>
          </cell>
        </row>
        <row r="38">
          <cell r="B38" t="str">
            <v>Новиков Дмитрий Петрович</v>
          </cell>
        </row>
        <row r="39">
          <cell r="B39" t="str">
            <v>Остудин Василий Дмитриевич</v>
          </cell>
        </row>
        <row r="40">
          <cell r="B40" t="str">
            <v>Поплевин Виктор Васильевич</v>
          </cell>
        </row>
        <row r="41">
          <cell r="B41" t="str">
            <v>Ревякин Александр Владимирович</v>
          </cell>
        </row>
        <row r="42">
          <cell r="B42" t="str">
            <v>Рогожин Иван Васильевич</v>
          </cell>
        </row>
        <row r="43">
          <cell r="B43" t="str">
            <v>Рыжов Владимир Павлович</v>
          </cell>
        </row>
        <row r="44">
          <cell r="B44" t="str">
            <v>Савельев Вячеслав Николаевич</v>
          </cell>
        </row>
        <row r="45">
          <cell r="B45" t="str">
            <v>Селезнев Илья Алексеевич</v>
          </cell>
        </row>
        <row r="46">
          <cell r="B46" t="str">
            <v>Смирнов Алексей Анатольевич</v>
          </cell>
        </row>
        <row r="47">
          <cell r="B47" t="str">
            <v>Самойлов Андрей Александрович</v>
          </cell>
        </row>
        <row r="48">
          <cell r="B48" t="str">
            <v>Собачкин Юрий Георгиевич</v>
          </cell>
        </row>
        <row r="49">
          <cell r="B49" t="str">
            <v>Саратовцев Михаил Юрьевич</v>
          </cell>
        </row>
        <row r="50">
          <cell r="B50" t="str">
            <v>Титкин Михаил Денисович</v>
          </cell>
        </row>
        <row r="51">
          <cell r="B51" t="str">
            <v>Фролов Геннадий Владимирович</v>
          </cell>
        </row>
        <row r="52">
          <cell r="B52" t="str">
            <v>Чертков Василий Николаевич</v>
          </cell>
        </row>
        <row r="53">
          <cell r="B53" t="str">
            <v>Шмелев Николай Иванович</v>
          </cell>
        </row>
        <row r="54">
          <cell r="B54" t="str">
            <v>Бухтеев Олег Юрьевич</v>
          </cell>
        </row>
        <row r="55">
          <cell r="B55" t="str">
            <v>Заломин Дмитрий Григорьевич</v>
          </cell>
        </row>
        <row r="56">
          <cell r="B56" t="str">
            <v>Есавкин Евгений Ильич</v>
          </cell>
        </row>
        <row r="57">
          <cell r="B57" t="str">
            <v>Акчурин Ринат Исхакович</v>
          </cell>
        </row>
        <row r="58">
          <cell r="B58" t="str">
            <v>Швец Александр Алексеевич</v>
          </cell>
        </row>
        <row r="59">
          <cell r="B59" t="str">
            <v>Абашин Константин Константинович</v>
          </cell>
        </row>
        <row r="60">
          <cell r="B60" t="str">
            <v>Артемов Сергей Николаевич</v>
          </cell>
        </row>
        <row r="61">
          <cell r="B61" t="str">
            <v>Сергеев Владислав Викторович</v>
          </cell>
        </row>
        <row r="62">
          <cell r="B62" t="str">
            <v>Денисов Александр Михайлович</v>
          </cell>
        </row>
        <row r="63">
          <cell r="B63" t="str">
            <v>Краснослободцев Сергей Николаевич</v>
          </cell>
        </row>
        <row r="64">
          <cell r="B64" t="str">
            <v>Чистиков Валерий Викторович</v>
          </cell>
        </row>
        <row r="65">
          <cell r="B65" t="str">
            <v>Зорин Иван Михайлович</v>
          </cell>
        </row>
        <row r="66">
          <cell r="B66" t="str">
            <v>Коротин Николай Иванович</v>
          </cell>
        </row>
        <row r="67">
          <cell r="B67" t="str">
            <v>Круглов Сергей Михайлович</v>
          </cell>
        </row>
        <row r="68">
          <cell r="B68" t="str">
            <v>Столяров Виталий Геннадиевич</v>
          </cell>
        </row>
        <row r="69">
          <cell r="B69" t="str">
            <v>Карякин Александр Николаевич</v>
          </cell>
        </row>
        <row r="70">
          <cell r="B70" t="str">
            <v>Цымбалистов Николай Владимирович</v>
          </cell>
        </row>
        <row r="71">
          <cell r="B71" t="str">
            <v>Минюшкин Олег Борисович</v>
          </cell>
        </row>
        <row r="72">
          <cell r="B72" t="str">
            <v>Лапшов Николай Иванович</v>
          </cell>
        </row>
        <row r="73">
          <cell r="B73" t="str">
            <v>Петров Алексей Александрович</v>
          </cell>
        </row>
        <row r="74">
          <cell r="B74" t="str">
            <v>Дианов Алексей Владимирович</v>
          </cell>
        </row>
        <row r="75">
          <cell r="B75" t="str">
            <v>Кашаев Замир Азгатович</v>
          </cell>
        </row>
        <row r="76">
          <cell r="B76" t="str">
            <v>Оралин Виктор Львович</v>
          </cell>
        </row>
        <row r="77">
          <cell r="B77" t="str">
            <v>Сережин Алексей Владимирович</v>
          </cell>
        </row>
        <row r="78">
          <cell r="B78" t="str">
            <v>Слепов Сергей Петрович</v>
          </cell>
        </row>
        <row r="79">
          <cell r="C79">
            <v>124</v>
          </cell>
          <cell r="D79">
            <v>62</v>
          </cell>
          <cell r="E79">
            <v>0</v>
          </cell>
          <cell r="F79">
            <v>0</v>
          </cell>
          <cell r="G79">
            <v>310</v>
          </cell>
          <cell r="H79">
            <v>62</v>
          </cell>
          <cell r="I79">
            <v>62</v>
          </cell>
          <cell r="J79">
            <v>0</v>
          </cell>
          <cell r="K79">
            <v>62</v>
          </cell>
          <cell r="L79">
            <v>62</v>
          </cell>
          <cell r="M79">
            <v>62</v>
          </cell>
          <cell r="N79">
            <v>0</v>
          </cell>
          <cell r="O79">
            <v>62</v>
          </cell>
          <cell r="P79">
            <v>62</v>
          </cell>
          <cell r="Q79">
            <v>0</v>
          </cell>
          <cell r="R79">
            <v>0</v>
          </cell>
          <cell r="S79">
            <v>62</v>
          </cell>
          <cell r="T79">
            <v>0</v>
          </cell>
          <cell r="U79">
            <v>62</v>
          </cell>
          <cell r="V79">
            <v>62</v>
          </cell>
          <cell r="W79">
            <v>0</v>
          </cell>
          <cell r="X79">
            <v>0</v>
          </cell>
          <cell r="Y79">
            <v>62</v>
          </cell>
          <cell r="Z79">
            <v>0</v>
          </cell>
          <cell r="AA79">
            <v>0</v>
          </cell>
          <cell r="AB79">
            <v>0</v>
          </cell>
          <cell r="AC79">
            <v>62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62</v>
          </cell>
          <cell r="AO79">
            <v>0</v>
          </cell>
          <cell r="AP79">
            <v>0</v>
          </cell>
          <cell r="AQ79">
            <v>560</v>
          </cell>
          <cell r="AR79">
            <v>0</v>
          </cell>
          <cell r="AS79">
            <v>0</v>
          </cell>
        </row>
      </sheetData>
      <sheetData sheetId="6">
        <row r="17">
          <cell r="B17" t="str">
            <v>Гуськов Виктор Михайлович</v>
          </cell>
        </row>
        <row r="18">
          <cell r="B18" t="str">
            <v>Климов Александр Серегевич</v>
          </cell>
        </row>
        <row r="19">
          <cell r="B19" t="str">
            <v>Анохин Анатолий Павлович</v>
          </cell>
        </row>
        <row r="20">
          <cell r="B20" t="str">
            <v>Купранов Василий Васильевич</v>
          </cell>
        </row>
        <row r="21">
          <cell r="B21" t="str">
            <v>Самаров Василий Осипович</v>
          </cell>
        </row>
        <row r="22">
          <cell r="B22" t="str">
            <v>Синявский Александр Александрович</v>
          </cell>
        </row>
        <row r="23">
          <cell r="B23" t="str">
            <v>Куроносов Петр Васильевич</v>
          </cell>
        </row>
        <row r="24">
          <cell r="B24" t="str">
            <v>Баев Вячеслав Викторович</v>
          </cell>
        </row>
        <row r="25">
          <cell r="B25" t="str">
            <v>Баулин Михаил Владимирович</v>
          </cell>
        </row>
        <row r="26">
          <cell r="B26" t="str">
            <v>Бушмин Николай Алексеевич</v>
          </cell>
        </row>
        <row r="27">
          <cell r="B27" t="str">
            <v>Кукольников Владимир Александрович</v>
          </cell>
        </row>
        <row r="28">
          <cell r="B28" t="str">
            <v>Любавин Владимир Петрович</v>
          </cell>
        </row>
        <row r="29">
          <cell r="B29" t="str">
            <v>Дурнайкин Евгений Владимирович</v>
          </cell>
        </row>
        <row r="30">
          <cell r="B30" t="str">
            <v>Левин Сергей Николаевич</v>
          </cell>
        </row>
        <row r="31">
          <cell r="B31" t="str">
            <v>Левинский Петр Владимирович</v>
          </cell>
        </row>
        <row r="32">
          <cell r="B32" t="str">
            <v>Лысаков Сергей Викторович</v>
          </cell>
        </row>
        <row r="33">
          <cell r="B33" t="str">
            <v>Любера Петр Иванович</v>
          </cell>
        </row>
        <row r="34">
          <cell r="B34" t="str">
            <v>Мамедов Вивади Талжатович</v>
          </cell>
        </row>
        <row r="35">
          <cell r="B35" t="str">
            <v>Синебогов Александр Анатольевич</v>
          </cell>
        </row>
        <row r="36">
          <cell r="B36" t="str">
            <v>Карталев Александр Алексеевич</v>
          </cell>
        </row>
        <row r="37">
          <cell r="B37" t="str">
            <v>Шпильков Александр Германович</v>
          </cell>
        </row>
        <row r="38">
          <cell r="B38" t="str">
            <v>Канцеров Борис Викторович</v>
          </cell>
        </row>
        <row r="39">
          <cell r="B39" t="str">
            <v>Грошев Александр Иванович</v>
          </cell>
        </row>
        <row r="40">
          <cell r="B40" t="str">
            <v>Дергунов Александр Сергеевич</v>
          </cell>
        </row>
        <row r="41">
          <cell r="B41" t="str">
            <v>Исаев Кирилл Владимирович</v>
          </cell>
        </row>
        <row r="42">
          <cell r="B42" t="str">
            <v>Глусцов Александр Владимирович</v>
          </cell>
        </row>
        <row r="43">
          <cell r="B43" t="str">
            <v>Пимкин Николай Иванович</v>
          </cell>
        </row>
        <row r="44">
          <cell r="B44" t="str">
            <v>Ромашин Олег Борисович</v>
          </cell>
        </row>
        <row r="45">
          <cell r="B45" t="str">
            <v>Славкин Алексей Петрович</v>
          </cell>
        </row>
        <row r="46">
          <cell r="B46" t="str">
            <v>Федякин Вячеслав Владимирович</v>
          </cell>
        </row>
        <row r="47">
          <cell r="B47" t="str">
            <v>Теплов Борис Александрович</v>
          </cell>
        </row>
        <row r="48">
          <cell r="C48">
            <v>60</v>
          </cell>
          <cell r="D48">
            <v>30</v>
          </cell>
          <cell r="E48">
            <v>0</v>
          </cell>
          <cell r="F48">
            <v>0</v>
          </cell>
          <cell r="G48">
            <v>150</v>
          </cell>
          <cell r="H48">
            <v>30</v>
          </cell>
          <cell r="I48">
            <v>30</v>
          </cell>
          <cell r="J48">
            <v>0</v>
          </cell>
          <cell r="K48">
            <v>30</v>
          </cell>
          <cell r="L48">
            <v>30</v>
          </cell>
          <cell r="M48">
            <v>30</v>
          </cell>
          <cell r="N48">
            <v>0</v>
          </cell>
          <cell r="O48">
            <v>0</v>
          </cell>
          <cell r="P48">
            <v>30</v>
          </cell>
          <cell r="Q48">
            <v>0</v>
          </cell>
          <cell r="R48">
            <v>0</v>
          </cell>
          <cell r="S48">
            <v>30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30</v>
          </cell>
          <cell r="Z48">
            <v>0</v>
          </cell>
          <cell r="AA48">
            <v>0</v>
          </cell>
          <cell r="AB48">
            <v>0</v>
          </cell>
          <cell r="AC48">
            <v>30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30</v>
          </cell>
          <cell r="AO48">
            <v>0</v>
          </cell>
          <cell r="AP48">
            <v>0</v>
          </cell>
          <cell r="AQ48">
            <v>260</v>
          </cell>
          <cell r="AR48">
            <v>0</v>
          </cell>
          <cell r="AS48">
            <v>0</v>
          </cell>
        </row>
      </sheetData>
      <sheetData sheetId="7">
        <row r="17">
          <cell r="B17" t="str">
            <v>Дажин Александр Серафимович</v>
          </cell>
        </row>
        <row r="18">
          <cell r="B18" t="str">
            <v>Осин Николай Иванович</v>
          </cell>
        </row>
        <row r="19">
          <cell r="B19" t="str">
            <v>Суханов Игорь Анатольевич</v>
          </cell>
        </row>
        <row r="20">
          <cell r="C20">
            <v>6</v>
          </cell>
          <cell r="D20">
            <v>3</v>
          </cell>
          <cell r="E20">
            <v>0</v>
          </cell>
          <cell r="F20">
            <v>0</v>
          </cell>
          <cell r="G20">
            <v>15</v>
          </cell>
          <cell r="H20">
            <v>3</v>
          </cell>
          <cell r="I20">
            <v>3</v>
          </cell>
          <cell r="J20">
            <v>0</v>
          </cell>
          <cell r="K20">
            <v>3</v>
          </cell>
          <cell r="L20">
            <v>3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3</v>
          </cell>
          <cell r="Z20">
            <v>3</v>
          </cell>
          <cell r="AA20">
            <v>3</v>
          </cell>
          <cell r="AB20">
            <v>3</v>
          </cell>
          <cell r="AC20">
            <v>3</v>
          </cell>
          <cell r="AD20">
            <v>3</v>
          </cell>
          <cell r="AE20">
            <v>3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10</v>
          </cell>
          <cell r="AR20">
            <v>0</v>
          </cell>
          <cell r="AS20">
            <v>0</v>
          </cell>
        </row>
      </sheetData>
      <sheetData sheetId="8">
        <row r="17">
          <cell r="B17" t="str">
            <v>Азов Владимир Геннадьевич</v>
          </cell>
        </row>
        <row r="18">
          <cell r="B18" t="str">
            <v>Берестовой Алексей Николаевич</v>
          </cell>
        </row>
        <row r="19">
          <cell r="B19" t="str">
            <v>Гурин Денис Викторович</v>
          </cell>
        </row>
        <row r="20">
          <cell r="B20" t="str">
            <v>Доронкин Сергей Николаевич</v>
          </cell>
        </row>
        <row r="21">
          <cell r="B21" t="str">
            <v>Денисов Александр Юрьевич</v>
          </cell>
        </row>
        <row r="22">
          <cell r="B22" t="str">
            <v>Журавлев Дмитрий Владимирович</v>
          </cell>
        </row>
        <row r="23">
          <cell r="B23" t="str">
            <v>Зимнухов Анатолий Валентинович</v>
          </cell>
        </row>
        <row r="24">
          <cell r="B24" t="str">
            <v>Кочетков Владислав Петрович</v>
          </cell>
        </row>
        <row r="25">
          <cell r="B25" t="str">
            <v>Крутилин Сергей Никаолаевич</v>
          </cell>
        </row>
        <row r="26">
          <cell r="B26" t="str">
            <v>Кольцов Григорий Юрьевич</v>
          </cell>
        </row>
        <row r="27">
          <cell r="B27" t="str">
            <v>Лозко Виктор Васильевич</v>
          </cell>
        </row>
        <row r="28">
          <cell r="B28" t="str">
            <v>Мордвинкин Николай Константинович</v>
          </cell>
        </row>
        <row r="29">
          <cell r="B29" t="str">
            <v>Маляренко Григорий Михайлович</v>
          </cell>
        </row>
        <row r="30">
          <cell r="B30" t="str">
            <v>Медков Денис Владимирович</v>
          </cell>
        </row>
        <row r="31">
          <cell r="B31" t="str">
            <v>Михайлов Рафик Чулаевич</v>
          </cell>
        </row>
        <row r="32">
          <cell r="B32" t="str">
            <v>Надыршин Рустам Загирович</v>
          </cell>
        </row>
        <row r="33">
          <cell r="B33" t="str">
            <v>Проничкин Николай Алексеевич</v>
          </cell>
        </row>
        <row r="34">
          <cell r="B34" t="str">
            <v>Прокопенко Вячеслав Геннадьевич</v>
          </cell>
        </row>
        <row r="35">
          <cell r="B35" t="str">
            <v>Ревенко Дмитрий Дмитриевич</v>
          </cell>
        </row>
        <row r="36">
          <cell r="B36" t="str">
            <v>Рогожкин Кирилл Евгеньевич</v>
          </cell>
        </row>
        <row r="37">
          <cell r="B37" t="str">
            <v>Спасский Олег Николаевич</v>
          </cell>
        </row>
        <row r="38">
          <cell r="B38" t="str">
            <v>Татаринский Елисей Александрович</v>
          </cell>
        </row>
        <row r="39">
          <cell r="B39" t="str">
            <v>Федоров Дмитрий Александрович</v>
          </cell>
        </row>
        <row r="40">
          <cell r="B40" t="str">
            <v>Фурасьев Сергей Алексеевич</v>
          </cell>
        </row>
        <row r="41">
          <cell r="B41" t="str">
            <v>Федонькин Виктор Сергеевич</v>
          </cell>
        </row>
        <row r="42">
          <cell r="B42" t="str">
            <v>Федулаев Сергей Николаевич</v>
          </cell>
        </row>
        <row r="43">
          <cell r="B43" t="str">
            <v>Шалдаев Игорь Николаевич</v>
          </cell>
        </row>
        <row r="44">
          <cell r="B44" t="str">
            <v>Шишканов Алексей Евгеньевич</v>
          </cell>
        </row>
        <row r="45">
          <cell r="B45" t="str">
            <v>Шанин Михаил Викторович</v>
          </cell>
        </row>
        <row r="46">
          <cell r="B46" t="str">
            <v>Юняев Алексей Равильевич</v>
          </cell>
        </row>
        <row r="47">
          <cell r="B47" t="str">
            <v>Тюменцев Роман Юрьевич</v>
          </cell>
        </row>
        <row r="48">
          <cell r="B48" t="str">
            <v>Лебедев Александр Викторович</v>
          </cell>
        </row>
        <row r="49">
          <cell r="B49" t="str">
            <v>Царапкин Сергей Петрович</v>
          </cell>
        </row>
        <row r="50">
          <cell r="B50" t="str">
            <v>Дасаев Ряшит Фяритович</v>
          </cell>
        </row>
        <row r="51">
          <cell r="B51" t="str">
            <v>Суслов Тарас Аркадьевич</v>
          </cell>
        </row>
        <row r="52">
          <cell r="B52" t="str">
            <v>Козлов Андрей Анатольевич</v>
          </cell>
        </row>
        <row r="53">
          <cell r="B53" t="str">
            <v>Цыганенко Валерий Александрович</v>
          </cell>
        </row>
        <row r="54">
          <cell r="B54" t="str">
            <v>Сучилин Андрей Васильевич</v>
          </cell>
        </row>
        <row r="55">
          <cell r="B55" t="str">
            <v>Слепов Олег Станиславович</v>
          </cell>
        </row>
        <row r="56">
          <cell r="B56" t="str">
            <v>Жернаков Сергей Александрович</v>
          </cell>
        </row>
        <row r="57">
          <cell r="B57" t="str">
            <v>Тишкин Сергей Александрович</v>
          </cell>
        </row>
        <row r="58">
          <cell r="B58" t="str">
            <v>Шишкин Владимир Александрович</v>
          </cell>
        </row>
        <row r="59">
          <cell r="B59" t="str">
            <v>Абдюшев Равиль Касимович</v>
          </cell>
        </row>
        <row r="60">
          <cell r="B60" t="str">
            <v>Дашкин Ильяс Исмаилович</v>
          </cell>
        </row>
        <row r="61">
          <cell r="B61" t="str">
            <v>Башкиров Олег Алексеевич</v>
          </cell>
        </row>
        <row r="62">
          <cell r="B62" t="str">
            <v>Кирсанов Сергей Павлович</v>
          </cell>
        </row>
        <row r="63">
          <cell r="B63" t="str">
            <v>Чупрунов Николай Владимирович</v>
          </cell>
        </row>
        <row r="64">
          <cell r="B64" t="str">
            <v>Ярви Раймо</v>
          </cell>
        </row>
        <row r="65">
          <cell r="B65" t="str">
            <v>Фролов Сергей Геннадьевич</v>
          </cell>
        </row>
        <row r="66">
          <cell r="B66" t="str">
            <v>Ложников Николай Владимирович</v>
          </cell>
        </row>
        <row r="67">
          <cell r="B67" t="str">
            <v>Кармеев Камиль Арифжанович</v>
          </cell>
        </row>
        <row r="68">
          <cell r="B68" t="str">
            <v>Матурин Марат Абдулхакович</v>
          </cell>
        </row>
        <row r="69">
          <cell r="C69">
            <v>100</v>
          </cell>
          <cell r="D69">
            <v>50</v>
          </cell>
          <cell r="E69">
            <v>50</v>
          </cell>
          <cell r="F69">
            <v>0</v>
          </cell>
          <cell r="G69">
            <v>250</v>
          </cell>
          <cell r="H69">
            <v>50</v>
          </cell>
          <cell r="I69">
            <v>50</v>
          </cell>
          <cell r="J69">
            <v>0</v>
          </cell>
          <cell r="K69">
            <v>50</v>
          </cell>
          <cell r="L69">
            <v>50</v>
          </cell>
          <cell r="M69">
            <v>50</v>
          </cell>
          <cell r="N69">
            <v>0</v>
          </cell>
          <cell r="O69">
            <v>50</v>
          </cell>
          <cell r="P69">
            <v>50</v>
          </cell>
          <cell r="Q69">
            <v>0</v>
          </cell>
          <cell r="R69">
            <v>0</v>
          </cell>
          <cell r="S69">
            <v>50</v>
          </cell>
          <cell r="T69">
            <v>0</v>
          </cell>
          <cell r="U69">
            <v>50</v>
          </cell>
          <cell r="V69">
            <v>50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50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50</v>
          </cell>
          <cell r="AO69">
            <v>0</v>
          </cell>
          <cell r="AP69">
            <v>0</v>
          </cell>
          <cell r="AQ69">
            <v>1120</v>
          </cell>
          <cell r="AR69">
            <v>0</v>
          </cell>
          <cell r="AS69">
            <v>45</v>
          </cell>
        </row>
      </sheetData>
      <sheetData sheetId="9">
        <row r="17">
          <cell r="B17" t="str">
            <v>Андрианов Валерий Иванович</v>
          </cell>
        </row>
        <row r="18">
          <cell r="B18" t="str">
            <v>Зеленов Алексей Николаевич</v>
          </cell>
        </row>
        <row r="19">
          <cell r="B19" t="str">
            <v>Белоногов Дмитрий Юрьевич</v>
          </cell>
        </row>
        <row r="20">
          <cell r="B20" t="str">
            <v>Швецов Юрий Геннадьевич</v>
          </cell>
        </row>
        <row r="21">
          <cell r="B21" t="str">
            <v>Борисенко Олег Геннадьевич</v>
          </cell>
        </row>
        <row r="22">
          <cell r="B22" t="str">
            <v>Елин Павел Павлович</v>
          </cell>
        </row>
        <row r="23">
          <cell r="B23" t="str">
            <v>Жарков Виталий Павлович</v>
          </cell>
        </row>
        <row r="24">
          <cell r="B24" t="str">
            <v>Развозжаев Виктор Васильевич</v>
          </cell>
        </row>
        <row r="25">
          <cell r="B25" t="str">
            <v>Мелянченков Игорь Борисович</v>
          </cell>
        </row>
        <row r="26">
          <cell r="B26" t="str">
            <v>Александров Олег Вячеславович</v>
          </cell>
        </row>
        <row r="27">
          <cell r="B27" t="str">
            <v>Матюшин Станислав Александрович</v>
          </cell>
        </row>
        <row r="28">
          <cell r="B28" t="str">
            <v>Разудалов Анатолий Сергеевич</v>
          </cell>
        </row>
        <row r="29">
          <cell r="B29" t="str">
            <v>Апполонов Юрий Сергеевич</v>
          </cell>
        </row>
        <row r="30">
          <cell r="B30" t="str">
            <v>Волков Сергей Геннадьевич</v>
          </cell>
        </row>
        <row r="31">
          <cell r="B31" t="str">
            <v>Кензин Михаил Иванович</v>
          </cell>
        </row>
        <row r="32">
          <cell r="B32" t="str">
            <v>Кензин Геннадий Алексеевич</v>
          </cell>
        </row>
        <row r="33">
          <cell r="B33" t="str">
            <v>Куркаяков Эдуард Гаязович</v>
          </cell>
        </row>
        <row r="34">
          <cell r="B34" t="str">
            <v>Мартынов Валерий Иванович</v>
          </cell>
        </row>
        <row r="35">
          <cell r="B35" t="str">
            <v>Павлуткин Алексей Юрьевич</v>
          </cell>
        </row>
        <row r="36">
          <cell r="B36" t="str">
            <v>Рубцов Андрей Алексеевич</v>
          </cell>
        </row>
        <row r="37">
          <cell r="B37" t="str">
            <v>Тришин Олег Иванович</v>
          </cell>
        </row>
        <row r="38">
          <cell r="B38" t="str">
            <v>Обломов Дмитрий Евгеньевич</v>
          </cell>
        </row>
        <row r="39">
          <cell r="B39" t="str">
            <v>Кильдеев Фуать Махмутьевич</v>
          </cell>
        </row>
        <row r="40">
          <cell r="B40" t="str">
            <v>Кожевников Евгений Владимирович</v>
          </cell>
        </row>
        <row r="41">
          <cell r="B41" t="str">
            <v>Килеев Николай Александрович</v>
          </cell>
        </row>
        <row r="42">
          <cell r="B42" t="str">
            <v>Бобко Денис Станиславович</v>
          </cell>
        </row>
        <row r="43">
          <cell r="B43" t="str">
            <v>Юмаголов Хамзя Юсупович</v>
          </cell>
        </row>
        <row r="44">
          <cell r="B44" t="str">
            <v>Кантеев Адельша Харичевич</v>
          </cell>
        </row>
        <row r="45">
          <cell r="B45" t="str">
            <v>Баянов Юрий Николаевич</v>
          </cell>
        </row>
        <row r="46">
          <cell r="B46" t="str">
            <v>Бахметьев Олег Витальевич</v>
          </cell>
        </row>
        <row r="47">
          <cell r="B47" t="str">
            <v>Беляков Егор Николаевич</v>
          </cell>
        </row>
        <row r="48">
          <cell r="B48" t="str">
            <v>Цырулев Сергей Владимирович</v>
          </cell>
        </row>
        <row r="49">
          <cell r="B49" t="str">
            <v>Ковлагин Вадим Сергеевич</v>
          </cell>
        </row>
        <row r="50">
          <cell r="B50" t="str">
            <v>Калабухов Алексей Федорович</v>
          </cell>
        </row>
        <row r="51">
          <cell r="B51" t="str">
            <v>Храмов Владимир Николаевич</v>
          </cell>
        </row>
        <row r="52">
          <cell r="B52" t="str">
            <v>Сабитов Ильяс Ахмядиевич</v>
          </cell>
        </row>
        <row r="53">
          <cell r="B53" t="str">
            <v>Рычков Виктор Николаевич</v>
          </cell>
        </row>
        <row r="54">
          <cell r="B54" t="str">
            <v>Кузин Алексей Михайлович</v>
          </cell>
        </row>
        <row r="55">
          <cell r="B55" t="str">
            <v>Курлыкин Артем Владимирович</v>
          </cell>
        </row>
        <row r="56">
          <cell r="B56" t="str">
            <v>Кантимуллин Рушан Жаферович</v>
          </cell>
        </row>
        <row r="57">
          <cell r="B57" t="str">
            <v>Зверев Сергей Владимирович</v>
          </cell>
        </row>
        <row r="58">
          <cell r="B58" t="str">
            <v>Живаев Александр Павлович</v>
          </cell>
        </row>
        <row r="59">
          <cell r="B59" t="str">
            <v>Ёгинов Иван Николаевич</v>
          </cell>
        </row>
        <row r="60">
          <cell r="B60" t="str">
            <v>Белокопытов Виталий Евгеньевич</v>
          </cell>
        </row>
        <row r="61">
          <cell r="B61" t="str">
            <v>Альбеков Айрат Аббясович</v>
          </cell>
        </row>
        <row r="62">
          <cell r="B62" t="str">
            <v>Алмакаев Динар Адельшаевич</v>
          </cell>
        </row>
        <row r="63">
          <cell r="B63" t="str">
            <v>Лопатинский Александр Константинович</v>
          </cell>
        </row>
        <row r="64">
          <cell r="B64" t="str">
            <v>Уткин Андрей Анатольевич</v>
          </cell>
        </row>
        <row r="65">
          <cell r="B65" t="str">
            <v>Иванчин Андрей Александрович</v>
          </cell>
        </row>
        <row r="66">
          <cell r="B66" t="str">
            <v>Искандаров Игорь Ирикович</v>
          </cell>
        </row>
        <row r="67">
          <cell r="B67" t="str">
            <v>Рябов Олег Сергеевич</v>
          </cell>
        </row>
        <row r="68">
          <cell r="B68" t="str">
            <v>Решетников Василий Григорьевич</v>
          </cell>
        </row>
        <row r="69">
          <cell r="C69">
            <v>92</v>
          </cell>
          <cell r="D69">
            <v>46</v>
          </cell>
          <cell r="E69">
            <v>46</v>
          </cell>
          <cell r="F69">
            <v>0</v>
          </cell>
          <cell r="G69">
            <v>230</v>
          </cell>
          <cell r="H69">
            <v>46</v>
          </cell>
          <cell r="I69">
            <v>46</v>
          </cell>
          <cell r="J69">
            <v>0</v>
          </cell>
          <cell r="K69">
            <v>46</v>
          </cell>
          <cell r="L69">
            <v>46</v>
          </cell>
          <cell r="M69">
            <v>46</v>
          </cell>
          <cell r="N69">
            <v>0</v>
          </cell>
          <cell r="O69">
            <v>0</v>
          </cell>
          <cell r="P69">
            <v>46</v>
          </cell>
          <cell r="Q69">
            <v>0</v>
          </cell>
          <cell r="R69">
            <v>0</v>
          </cell>
          <cell r="S69">
            <v>46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46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570</v>
          </cell>
          <cell r="AR69">
            <v>0</v>
          </cell>
          <cell r="AS69">
            <v>51</v>
          </cell>
        </row>
      </sheetData>
      <sheetData sheetId="10">
        <row r="17">
          <cell r="B17" t="str">
            <v>Лагодзя Олег Викторович</v>
          </cell>
        </row>
        <row r="18">
          <cell r="B18" t="str">
            <v>Шудин Сергей Анатольевич</v>
          </cell>
        </row>
        <row r="19">
          <cell r="C19">
            <v>4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2</v>
          </cell>
          <cell r="I19">
            <v>2</v>
          </cell>
          <cell r="J19">
            <v>0</v>
          </cell>
          <cell r="K19">
            <v>2</v>
          </cell>
          <cell r="L19">
            <v>2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2</v>
          </cell>
          <cell r="AA19">
            <v>2</v>
          </cell>
          <cell r="AB19">
            <v>2</v>
          </cell>
          <cell r="AC19">
            <v>2</v>
          </cell>
          <cell r="AD19">
            <v>2</v>
          </cell>
          <cell r="AE19">
            <v>2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</row>
      </sheetData>
      <sheetData sheetId="11">
        <row r="17">
          <cell r="B17" t="str">
            <v>Аникин Алексей Алексеевич</v>
          </cell>
        </row>
        <row r="18">
          <cell r="B18" t="str">
            <v>Халиков Вячеслав Мехатгалиевич</v>
          </cell>
        </row>
        <row r="19">
          <cell r="B19" t="str">
            <v>Бобров Владимир Викторович</v>
          </cell>
        </row>
        <row r="20">
          <cell r="B20" t="str">
            <v>Волков Виктор Алексеевич</v>
          </cell>
        </row>
        <row r="21">
          <cell r="B21" t="str">
            <v>Величко Александр Юрьевич</v>
          </cell>
        </row>
        <row r="22">
          <cell r="B22" t="str">
            <v>Грачев Михаил Владимирович</v>
          </cell>
        </row>
        <row r="23">
          <cell r="B23" t="str">
            <v>Губкин Николай Александрович</v>
          </cell>
        </row>
        <row r="24">
          <cell r="B24" t="str">
            <v>Евстифеев Николай Иванович</v>
          </cell>
        </row>
        <row r="25">
          <cell r="B25" t="str">
            <v>Забнев Андрей Александович</v>
          </cell>
        </row>
        <row r="26">
          <cell r="B26" t="str">
            <v>Иваньшин Николай Иванович</v>
          </cell>
        </row>
        <row r="27">
          <cell r="B27" t="str">
            <v>Коваленко Александр Владимирович</v>
          </cell>
        </row>
        <row r="28">
          <cell r="B28" t="str">
            <v>Лукичев Павел Юрьевич</v>
          </cell>
        </row>
        <row r="29">
          <cell r="B29" t="str">
            <v>Мадонов Сергей Иванович</v>
          </cell>
        </row>
        <row r="30">
          <cell r="B30" t="str">
            <v>Морозов Владимир Александрович</v>
          </cell>
        </row>
        <row r="31">
          <cell r="B31" t="str">
            <v>Подмарев Сергей Евгеньевич</v>
          </cell>
        </row>
        <row r="32">
          <cell r="B32" t="str">
            <v>Пустов Павел Николаевич</v>
          </cell>
        </row>
        <row r="33">
          <cell r="B33" t="str">
            <v>Блохин Федор Михайлович</v>
          </cell>
        </row>
        <row r="34">
          <cell r="B34" t="str">
            <v>Арзамасков Алексей Юрьевич</v>
          </cell>
        </row>
        <row r="35">
          <cell r="B35" t="str">
            <v>Савинов Александр Владимирович</v>
          </cell>
        </row>
        <row r="36">
          <cell r="B36" t="str">
            <v>Гарулин Сергей Владимирович</v>
          </cell>
        </row>
        <row r="37">
          <cell r="B37" t="str">
            <v>Горшков Олег Николаевич</v>
          </cell>
        </row>
        <row r="38">
          <cell r="B38" t="str">
            <v>Куприянов Сергей Борисович</v>
          </cell>
        </row>
        <row r="39">
          <cell r="B39" t="str">
            <v>Федин Сергей Петрович</v>
          </cell>
        </row>
        <row r="40">
          <cell r="B40" t="str">
            <v>Дворянинов Игорь Александрович</v>
          </cell>
        </row>
        <row r="41">
          <cell r="B41" t="str">
            <v>Дементьев Сергей Александрович</v>
          </cell>
        </row>
        <row r="42">
          <cell r="B42" t="str">
            <v>Вахрамов Александр Николаевич</v>
          </cell>
        </row>
        <row r="43">
          <cell r="B43" t="str">
            <v>Сазонов Александр Иванович</v>
          </cell>
        </row>
        <row r="44">
          <cell r="B44" t="str">
            <v>Куменко Александр Алексеевич</v>
          </cell>
        </row>
        <row r="45">
          <cell r="B45" t="str">
            <v>Федотов Анатолий Николаевич</v>
          </cell>
        </row>
        <row r="46">
          <cell r="B46" t="str">
            <v>Илюшин Станислав Сергеевич</v>
          </cell>
        </row>
        <row r="47">
          <cell r="B47" t="str">
            <v>Логачев Михаил Михайлович</v>
          </cell>
        </row>
        <row r="48">
          <cell r="B48" t="str">
            <v>Куляпин Артем Владимирович</v>
          </cell>
        </row>
        <row r="49">
          <cell r="B49" t="str">
            <v>Кучкар Ренат Десюпович</v>
          </cell>
        </row>
        <row r="50">
          <cell r="B50" t="str">
            <v>Сидорин Роман Николаевич</v>
          </cell>
        </row>
        <row r="51">
          <cell r="C51">
            <v>68</v>
          </cell>
          <cell r="D51">
            <v>34</v>
          </cell>
          <cell r="E51">
            <v>34</v>
          </cell>
          <cell r="F51">
            <v>0</v>
          </cell>
          <cell r="G51">
            <v>170</v>
          </cell>
          <cell r="H51">
            <v>34</v>
          </cell>
          <cell r="I51">
            <v>34</v>
          </cell>
          <cell r="J51">
            <v>0</v>
          </cell>
          <cell r="K51">
            <v>34</v>
          </cell>
          <cell r="L51">
            <v>34</v>
          </cell>
          <cell r="M51">
            <v>34</v>
          </cell>
          <cell r="N51">
            <v>0</v>
          </cell>
          <cell r="O51">
            <v>34</v>
          </cell>
          <cell r="P51">
            <v>34</v>
          </cell>
          <cell r="Q51">
            <v>0</v>
          </cell>
          <cell r="R51">
            <v>0</v>
          </cell>
          <cell r="S51">
            <v>34</v>
          </cell>
          <cell r="T51">
            <v>0</v>
          </cell>
          <cell r="U51">
            <v>34</v>
          </cell>
          <cell r="V51">
            <v>34</v>
          </cell>
          <cell r="W51">
            <v>0</v>
          </cell>
          <cell r="X51">
            <v>0</v>
          </cell>
          <cell r="Y51">
            <v>34</v>
          </cell>
          <cell r="Z51">
            <v>0</v>
          </cell>
          <cell r="AA51">
            <v>0</v>
          </cell>
          <cell r="AB51">
            <v>0</v>
          </cell>
          <cell r="AC51">
            <v>34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34</v>
          </cell>
          <cell r="AO51">
            <v>0</v>
          </cell>
          <cell r="AP51">
            <v>0</v>
          </cell>
          <cell r="AQ51">
            <v>440</v>
          </cell>
          <cell r="AR51">
            <v>0</v>
          </cell>
          <cell r="AS51">
            <v>0</v>
          </cell>
        </row>
      </sheetData>
      <sheetData sheetId="12">
        <row r="17">
          <cell r="B17" t="str">
            <v>Полковниченко Николай Васильевич</v>
          </cell>
        </row>
        <row r="18">
          <cell r="B18" t="str">
            <v>Стрельцов Сергей Петрович</v>
          </cell>
        </row>
        <row r="19">
          <cell r="B19" t="str">
            <v>Гришанцев Павел Борисович</v>
          </cell>
        </row>
        <row r="20">
          <cell r="B20" t="str">
            <v>Новосельцев Александр Борисович</v>
          </cell>
        </row>
        <row r="21">
          <cell r="B21" t="str">
            <v>Горбунов Виктор Александрович</v>
          </cell>
        </row>
        <row r="22">
          <cell r="B22" t="str">
            <v>Сизинцев Андрей Александрович</v>
          </cell>
        </row>
        <row r="23">
          <cell r="B23" t="str">
            <v>Христинин Юрий Николаевич</v>
          </cell>
        </row>
        <row r="24">
          <cell r="B24" t="str">
            <v>Панькин Вячеслав Викторович</v>
          </cell>
        </row>
        <row r="25">
          <cell r="B25" t="str">
            <v>Конышкин Александр Викторович</v>
          </cell>
        </row>
        <row r="26">
          <cell r="B26" t="str">
            <v>Барышников Иван Максимович</v>
          </cell>
        </row>
        <row r="27">
          <cell r="B27" t="str">
            <v>Махмудияров Артем Кадырович</v>
          </cell>
        </row>
        <row r="28">
          <cell r="B28" t="str">
            <v>Васильев Сергей Васильевич</v>
          </cell>
        </row>
        <row r="29">
          <cell r="B29" t="str">
            <v>Хишев Дмитрий Валерьевич</v>
          </cell>
        </row>
        <row r="30">
          <cell r="B30" t="str">
            <v>Николаев Юрий Борисович</v>
          </cell>
        </row>
        <row r="31">
          <cell r="B31" t="str">
            <v>Мучкаев Дмитрий Евгеньевич</v>
          </cell>
        </row>
        <row r="32">
          <cell r="B32" t="str">
            <v>Артемьев Василий Петрович</v>
          </cell>
        </row>
        <row r="33">
          <cell r="B33" t="str">
            <v>Творогов Владимир Михайлович</v>
          </cell>
        </row>
        <row r="34">
          <cell r="B34" t="str">
            <v>Рудаков Владимир Геннадьевич</v>
          </cell>
        </row>
        <row r="35">
          <cell r="B35" t="str">
            <v>Чекмарев Дмитрий Владимирович</v>
          </cell>
        </row>
        <row r="36">
          <cell r="B36" t="str">
            <v>Солдатов Сергей Александрович</v>
          </cell>
        </row>
        <row r="37">
          <cell r="B37" t="str">
            <v>Савицкий Михаил Юрьевич</v>
          </cell>
        </row>
        <row r="38">
          <cell r="B38" t="str">
            <v>Калашников Сергей Евгеньевич</v>
          </cell>
        </row>
        <row r="39">
          <cell r="B39" t="str">
            <v>Нестеров Алексей Александрович</v>
          </cell>
        </row>
        <row r="40">
          <cell r="B40" t="str">
            <v>Шишин Анатолий Сергеевич</v>
          </cell>
        </row>
        <row r="41">
          <cell r="B41" t="str">
            <v>Филатов Павел Александрович</v>
          </cell>
        </row>
        <row r="42">
          <cell r="B42" t="str">
            <v>Екимов Николай Павлович</v>
          </cell>
        </row>
        <row r="43">
          <cell r="B43" t="str">
            <v>Шулындин Василий Владимирович</v>
          </cell>
        </row>
        <row r="44">
          <cell r="B44" t="str">
            <v>Сирюшев Петр Васильевич</v>
          </cell>
        </row>
        <row r="45">
          <cell r="B45" t="str">
            <v>Ермолаев Сергей Анатольевич</v>
          </cell>
        </row>
        <row r="46">
          <cell r="C46">
            <v>58</v>
          </cell>
          <cell r="D46">
            <v>29</v>
          </cell>
          <cell r="E46">
            <v>29</v>
          </cell>
          <cell r="F46">
            <v>0</v>
          </cell>
          <cell r="G46">
            <v>145</v>
          </cell>
          <cell r="H46">
            <v>29</v>
          </cell>
          <cell r="I46">
            <v>29</v>
          </cell>
          <cell r="J46">
            <v>0</v>
          </cell>
          <cell r="K46">
            <v>29</v>
          </cell>
          <cell r="L46">
            <v>29</v>
          </cell>
          <cell r="M46">
            <v>29</v>
          </cell>
          <cell r="N46">
            <v>0</v>
          </cell>
          <cell r="O46">
            <v>0</v>
          </cell>
          <cell r="P46">
            <v>29</v>
          </cell>
          <cell r="Q46">
            <v>0</v>
          </cell>
          <cell r="R46">
            <v>0</v>
          </cell>
          <cell r="S46">
            <v>29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29</v>
          </cell>
          <cell r="Z46">
            <v>0</v>
          </cell>
          <cell r="AA46">
            <v>0</v>
          </cell>
          <cell r="AB46">
            <v>0</v>
          </cell>
          <cell r="AC46">
            <v>29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29</v>
          </cell>
          <cell r="AO46">
            <v>0</v>
          </cell>
          <cell r="AP46">
            <v>0</v>
          </cell>
          <cell r="AQ46">
            <v>260</v>
          </cell>
          <cell r="AR46">
            <v>0</v>
          </cell>
          <cell r="AS46">
            <v>0</v>
          </cell>
        </row>
      </sheetData>
      <sheetData sheetId="13">
        <row r="17">
          <cell r="B17" t="str">
            <v>Федонькин Виктор Михайлович</v>
          </cell>
        </row>
        <row r="18">
          <cell r="B18" t="str">
            <v>Клычев Владимир Васильевич</v>
          </cell>
        </row>
        <row r="19">
          <cell r="B19" t="str">
            <v>Рихмаер Светлана Петровна</v>
          </cell>
        </row>
        <row r="20">
          <cell r="C20">
            <v>6</v>
          </cell>
          <cell r="D20">
            <v>3</v>
          </cell>
          <cell r="E20">
            <v>3</v>
          </cell>
          <cell r="F20">
            <v>0</v>
          </cell>
          <cell r="G20">
            <v>15</v>
          </cell>
          <cell r="H20">
            <v>3</v>
          </cell>
          <cell r="I20">
            <v>3</v>
          </cell>
          <cell r="J20">
            <v>0</v>
          </cell>
          <cell r="K20">
            <v>3</v>
          </cell>
          <cell r="L20">
            <v>3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3</v>
          </cell>
          <cell r="Z20">
            <v>3</v>
          </cell>
          <cell r="AA20">
            <v>3</v>
          </cell>
          <cell r="AB20">
            <v>3</v>
          </cell>
          <cell r="AC20">
            <v>3</v>
          </cell>
          <cell r="AD20">
            <v>3</v>
          </cell>
          <cell r="AE20">
            <v>3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</row>
      </sheetData>
      <sheetData sheetId="14">
        <row r="17">
          <cell r="B17" t="str">
            <v>Александров Владимир Викторович</v>
          </cell>
        </row>
        <row r="18">
          <cell r="B18" t="str">
            <v>Артемов Иван Леонидович</v>
          </cell>
        </row>
        <row r="19">
          <cell r="B19" t="str">
            <v>Акчурин Руслан Алиевич</v>
          </cell>
        </row>
        <row r="20">
          <cell r="B20" t="str">
            <v>Голиков Илья Николаевич</v>
          </cell>
        </row>
        <row r="21">
          <cell r="B21" t="str">
            <v>Бугров Алексей Васильевич</v>
          </cell>
        </row>
        <row r="22">
          <cell r="B22" t="str">
            <v>Варламов Владимир Робертович</v>
          </cell>
        </row>
        <row r="23">
          <cell r="B23" t="str">
            <v>Ганин Юрий Михайлович</v>
          </cell>
        </row>
        <row r="24">
          <cell r="B24" t="str">
            <v>Гришин Константин Дмитриевич</v>
          </cell>
        </row>
        <row r="25">
          <cell r="B25" t="str">
            <v>Григошин Сергей Николаевич</v>
          </cell>
        </row>
        <row r="26">
          <cell r="B26" t="str">
            <v>Иванус Артур Манцевич</v>
          </cell>
        </row>
        <row r="27">
          <cell r="B27" t="str">
            <v>Ковалев Анатолий Иванович</v>
          </cell>
        </row>
        <row r="28">
          <cell r="B28" t="str">
            <v>Кожаев Сергей Федорович</v>
          </cell>
        </row>
        <row r="29">
          <cell r="B29" t="str">
            <v>Малышев Сергей Николаевич</v>
          </cell>
        </row>
        <row r="30">
          <cell r="B30" t="str">
            <v>Медков Иван Владимирович</v>
          </cell>
        </row>
        <row r="31">
          <cell r="B31" t="str">
            <v>Неизвестный Александр Михайлович</v>
          </cell>
        </row>
        <row r="32">
          <cell r="B32" t="str">
            <v>Нестеров Валерий Геннадьевич</v>
          </cell>
        </row>
        <row r="33">
          <cell r="B33" t="str">
            <v>Основин Виктор Васильевич</v>
          </cell>
        </row>
        <row r="34">
          <cell r="B34" t="str">
            <v>Павлов Александр Анатольевич</v>
          </cell>
        </row>
        <row r="35">
          <cell r="B35" t="str">
            <v>Рябухин Андрей Григорьевич</v>
          </cell>
        </row>
        <row r="36">
          <cell r="B36" t="str">
            <v>Симаков Сергей Викторович</v>
          </cell>
        </row>
        <row r="37">
          <cell r="B37" t="str">
            <v>Сидоров Александр Николаевич</v>
          </cell>
        </row>
        <row r="38">
          <cell r="B38" t="str">
            <v>Синюков Владимир Степанович</v>
          </cell>
        </row>
        <row r="39">
          <cell r="B39" t="str">
            <v>Смирнов Алексей Павлович</v>
          </cell>
        </row>
        <row r="40">
          <cell r="B40" t="str">
            <v>Сташкевич Сергей Иванович</v>
          </cell>
        </row>
        <row r="41">
          <cell r="B41" t="str">
            <v>Сысуев Юрий Николаевич</v>
          </cell>
        </row>
        <row r="42">
          <cell r="B42" t="str">
            <v>Суханков Валерий Трофимович</v>
          </cell>
        </row>
        <row r="43">
          <cell r="B43" t="str">
            <v>Усанов Анатолий Петрович</v>
          </cell>
        </row>
        <row r="44">
          <cell r="B44" t="str">
            <v>Фатигаров Денис Вячеславович</v>
          </cell>
        </row>
        <row r="45">
          <cell r="B45" t="str">
            <v>Фирсов Анатолий Вячеславович</v>
          </cell>
        </row>
        <row r="46">
          <cell r="B46" t="str">
            <v>Хмелев Виктор Иванович</v>
          </cell>
        </row>
        <row r="47">
          <cell r="B47" t="str">
            <v>Шаракин Владимир Михайлович</v>
          </cell>
        </row>
        <row r="48">
          <cell r="B48" t="str">
            <v>Шадчин Геннадий Александрович</v>
          </cell>
        </row>
        <row r="49">
          <cell r="B49" t="str">
            <v>Щеглов Сергей Юрьевич</v>
          </cell>
        </row>
        <row r="50">
          <cell r="B50" t="str">
            <v>Юртаев  Геннадий Федорович</v>
          </cell>
        </row>
        <row r="51">
          <cell r="B51" t="str">
            <v>Закаткин Виктор Михайлович</v>
          </cell>
        </row>
        <row r="52">
          <cell r="B52" t="str">
            <v>Зеленков Алексей Алексеевич</v>
          </cell>
        </row>
        <row r="53">
          <cell r="B53" t="str">
            <v>Кураев Александр Сереевич</v>
          </cell>
        </row>
        <row r="54">
          <cell r="B54" t="str">
            <v>Нубаев Махмуд Махмудович</v>
          </cell>
        </row>
        <row r="55">
          <cell r="B55" t="str">
            <v>Саяпин Дмитрий Викторович</v>
          </cell>
        </row>
        <row r="56">
          <cell r="B56" t="str">
            <v>Улыбышев Александр Анатольевич</v>
          </cell>
        </row>
        <row r="57">
          <cell r="B57" t="str">
            <v>Хайруллин Дамир Рафкатович</v>
          </cell>
        </row>
        <row r="58">
          <cell r="B58" t="str">
            <v>Кичеров Даниил Кириллович</v>
          </cell>
        </row>
        <row r="59">
          <cell r="B59" t="str">
            <v>Хвастунов Виталий Алексеевич</v>
          </cell>
        </row>
        <row r="60">
          <cell r="B60" t="str">
            <v>Спирин Михаил Александрович</v>
          </cell>
        </row>
        <row r="61">
          <cell r="B61" t="str">
            <v>Коробов Василий Андреевич</v>
          </cell>
        </row>
        <row r="62">
          <cell r="B62" t="str">
            <v>Ситников Виктор Александрович</v>
          </cell>
        </row>
        <row r="63">
          <cell r="B63" t="str">
            <v>Ларькин Михаил Анатольевич</v>
          </cell>
        </row>
        <row r="64">
          <cell r="B64" t="str">
            <v>Колганов Василий Михайлович</v>
          </cell>
        </row>
        <row r="65">
          <cell r="C65">
            <v>96</v>
          </cell>
          <cell r="D65">
            <v>48</v>
          </cell>
          <cell r="E65">
            <v>48</v>
          </cell>
          <cell r="F65">
            <v>0</v>
          </cell>
          <cell r="G65">
            <v>240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48</v>
          </cell>
          <cell r="P65">
            <v>0</v>
          </cell>
          <cell r="Q65">
            <v>0</v>
          </cell>
          <cell r="R65">
            <v>0</v>
          </cell>
          <cell r="S65">
            <v>48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48</v>
          </cell>
          <cell r="Z65">
            <v>0</v>
          </cell>
          <cell r="AA65">
            <v>0</v>
          </cell>
          <cell r="AB65">
            <v>0</v>
          </cell>
          <cell r="AC65">
            <v>48</v>
          </cell>
          <cell r="AD65">
            <v>0</v>
          </cell>
          <cell r="AE65">
            <v>0</v>
          </cell>
          <cell r="AF65">
            <v>48</v>
          </cell>
          <cell r="AG65">
            <v>0</v>
          </cell>
          <cell r="AH65">
            <v>48</v>
          </cell>
          <cell r="AI65">
            <v>48</v>
          </cell>
          <cell r="AJ65">
            <v>48</v>
          </cell>
          <cell r="AK65">
            <v>48</v>
          </cell>
          <cell r="AL65">
            <v>48</v>
          </cell>
          <cell r="AM65">
            <v>48</v>
          </cell>
          <cell r="AN65">
            <v>48</v>
          </cell>
          <cell r="AO65">
            <v>0</v>
          </cell>
          <cell r="AP65">
            <v>0</v>
          </cell>
          <cell r="AQ65">
            <v>340</v>
          </cell>
          <cell r="AR65">
            <v>0</v>
          </cell>
          <cell r="AS65">
            <v>0</v>
          </cell>
        </row>
      </sheetData>
      <sheetData sheetId="15">
        <row r="17">
          <cell r="B17" t="str">
            <v>Авилов Михаил Олегович</v>
          </cell>
        </row>
        <row r="18">
          <cell r="B18" t="str">
            <v>Буланов Александр  Викторович</v>
          </cell>
        </row>
        <row r="19">
          <cell r="B19" t="str">
            <v>Булкин Юрий Иванович</v>
          </cell>
        </row>
        <row r="20">
          <cell r="B20" t="str">
            <v>Гребенников Глеб Александрович</v>
          </cell>
        </row>
        <row r="21">
          <cell r="B21" t="str">
            <v>Зубков Александр Евгеньевич</v>
          </cell>
        </row>
        <row r="22">
          <cell r="B22" t="str">
            <v>Кривов Станислав Всеволодович</v>
          </cell>
        </row>
        <row r="23">
          <cell r="B23" t="str">
            <v>Январкин Валерий Николаевич</v>
          </cell>
        </row>
        <row r="24">
          <cell r="B24" t="str">
            <v>Круглов Валерий Борисович</v>
          </cell>
        </row>
        <row r="25">
          <cell r="B25" t="str">
            <v>Мухин Игорь Владимирович</v>
          </cell>
        </row>
        <row r="26">
          <cell r="B26" t="str">
            <v>Переверзев Александр Олегович</v>
          </cell>
        </row>
        <row r="27">
          <cell r="B27" t="str">
            <v>Рачков Анатолий Иванович</v>
          </cell>
        </row>
        <row r="28">
          <cell r="B28" t="str">
            <v>Райский Сергей Борисович</v>
          </cell>
        </row>
        <row r="29">
          <cell r="B29" t="str">
            <v>Скворцов Виталий Викторович</v>
          </cell>
        </row>
        <row r="30">
          <cell r="B30" t="str">
            <v>Сычев Михаил Тимофеевич</v>
          </cell>
        </row>
        <row r="31">
          <cell r="B31" t="str">
            <v>Данчев Николай Николаевич</v>
          </cell>
        </row>
        <row r="32">
          <cell r="B32" t="str">
            <v>Чемоданов Владимир Владимирович</v>
          </cell>
        </row>
        <row r="33">
          <cell r="B33" t="str">
            <v>Цыганов Сергей Евгеньевич</v>
          </cell>
        </row>
        <row r="34">
          <cell r="B34" t="str">
            <v>Минцев Виктор Константинович</v>
          </cell>
        </row>
        <row r="35">
          <cell r="B35" t="str">
            <v>Вихарев Владимир Александрович</v>
          </cell>
        </row>
        <row r="36">
          <cell r="B36" t="str">
            <v>Безяев Сергей Анатольевич</v>
          </cell>
        </row>
        <row r="37">
          <cell r="B37" t="str">
            <v>Епифанов Владимир Анатольевич</v>
          </cell>
        </row>
        <row r="38">
          <cell r="B38" t="str">
            <v>Куцайкин Александр Иванович</v>
          </cell>
        </row>
        <row r="39">
          <cell r="B39" t="str">
            <v>Барабанов Владимир Николаевич</v>
          </cell>
        </row>
        <row r="40">
          <cell r="B40" t="str">
            <v>Шатилов Владимир Владимирович</v>
          </cell>
        </row>
        <row r="41">
          <cell r="C41">
            <v>48</v>
          </cell>
          <cell r="D41">
            <v>24</v>
          </cell>
          <cell r="E41">
            <v>24</v>
          </cell>
          <cell r="F41">
            <v>0</v>
          </cell>
          <cell r="G41">
            <v>120</v>
          </cell>
          <cell r="H41">
            <v>24</v>
          </cell>
          <cell r="I41">
            <v>24</v>
          </cell>
          <cell r="J41">
            <v>0</v>
          </cell>
          <cell r="K41">
            <v>24</v>
          </cell>
          <cell r="L41">
            <v>24</v>
          </cell>
          <cell r="M41">
            <v>24</v>
          </cell>
          <cell r="N41">
            <v>0</v>
          </cell>
          <cell r="O41">
            <v>24</v>
          </cell>
          <cell r="P41">
            <v>24</v>
          </cell>
          <cell r="Q41">
            <v>0</v>
          </cell>
          <cell r="R41">
            <v>0</v>
          </cell>
          <cell r="S41">
            <v>24</v>
          </cell>
          <cell r="T41">
            <v>0</v>
          </cell>
          <cell r="U41">
            <v>24</v>
          </cell>
          <cell r="V41">
            <v>24</v>
          </cell>
          <cell r="W41">
            <v>0</v>
          </cell>
          <cell r="X41">
            <v>0</v>
          </cell>
          <cell r="Y41">
            <v>24</v>
          </cell>
          <cell r="Z41">
            <v>0</v>
          </cell>
          <cell r="AA41">
            <v>0</v>
          </cell>
          <cell r="AB41">
            <v>0</v>
          </cell>
          <cell r="AC41">
            <v>24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24</v>
          </cell>
          <cell r="AO41">
            <v>0</v>
          </cell>
          <cell r="AP41">
            <v>0</v>
          </cell>
          <cell r="AQ41">
            <v>300</v>
          </cell>
          <cell r="AR41">
            <v>0</v>
          </cell>
          <cell r="AS41">
            <v>0</v>
          </cell>
        </row>
      </sheetData>
      <sheetData sheetId="16">
        <row r="17">
          <cell r="B17" t="str">
            <v>Семисаженов Владимир Александрович</v>
          </cell>
        </row>
        <row r="18">
          <cell r="B18" t="str">
            <v>Бушмин Василий Алексеевич</v>
          </cell>
        </row>
        <row r="19">
          <cell r="B19" t="str">
            <v>Ергаков Александр Иванович</v>
          </cell>
        </row>
        <row r="20">
          <cell r="B20" t="str">
            <v>Пантюхин Александр Анатольевич</v>
          </cell>
        </row>
        <row r="21">
          <cell r="B21" t="str">
            <v>Балакин Юрий Александрович</v>
          </cell>
        </row>
        <row r="22">
          <cell r="B22" t="str">
            <v>Слуцкий Станислав Станиславович</v>
          </cell>
        </row>
        <row r="23">
          <cell r="B23" t="str">
            <v>Ирышков Виталий Анатольевич</v>
          </cell>
        </row>
        <row r="24">
          <cell r="B24" t="str">
            <v>Хухлаев Павел Анатольевич</v>
          </cell>
        </row>
        <row r="25">
          <cell r="B25" t="str">
            <v>Мохамад Дин</v>
          </cell>
        </row>
        <row r="26">
          <cell r="B26" t="str">
            <v>Юпатов Евгений Викторович</v>
          </cell>
        </row>
        <row r="27">
          <cell r="B27" t="str">
            <v>Ватлашов Виталий Владимирович</v>
          </cell>
        </row>
        <row r="28">
          <cell r="B28" t="str">
            <v>Скачков Андрей Михайлович</v>
          </cell>
        </row>
        <row r="29">
          <cell r="C29">
            <v>24</v>
          </cell>
          <cell r="D29">
            <v>12</v>
          </cell>
          <cell r="E29">
            <v>12</v>
          </cell>
          <cell r="F29">
            <v>0</v>
          </cell>
          <cell r="G29">
            <v>60</v>
          </cell>
          <cell r="H29">
            <v>12</v>
          </cell>
          <cell r="I29">
            <v>12</v>
          </cell>
          <cell r="J29">
            <v>0</v>
          </cell>
          <cell r="K29">
            <v>12</v>
          </cell>
          <cell r="L29">
            <v>12</v>
          </cell>
          <cell r="M29">
            <v>12</v>
          </cell>
          <cell r="N29">
            <v>0</v>
          </cell>
          <cell r="O29">
            <v>0</v>
          </cell>
          <cell r="P29">
            <v>12</v>
          </cell>
          <cell r="Q29">
            <v>0</v>
          </cell>
          <cell r="R29">
            <v>0</v>
          </cell>
          <cell r="S29">
            <v>12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12</v>
          </cell>
          <cell r="Z29">
            <v>0</v>
          </cell>
          <cell r="AA29">
            <v>0</v>
          </cell>
          <cell r="AB29">
            <v>0</v>
          </cell>
          <cell r="AC29">
            <v>12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12</v>
          </cell>
          <cell r="AO29">
            <v>0</v>
          </cell>
          <cell r="AP29">
            <v>0</v>
          </cell>
          <cell r="AQ29">
            <v>70</v>
          </cell>
          <cell r="AR29">
            <v>0</v>
          </cell>
          <cell r="AS29">
            <v>0</v>
          </cell>
        </row>
      </sheetData>
      <sheetData sheetId="17">
        <row r="17">
          <cell r="B17" t="str">
            <v>Разин Анатолий Алексеевич</v>
          </cell>
        </row>
        <row r="18">
          <cell r="B18" t="str">
            <v>Кузьмеров Владимир Николаевич</v>
          </cell>
        </row>
        <row r="19">
          <cell r="B19" t="str">
            <v>Зуев Иван Иванович</v>
          </cell>
        </row>
        <row r="20">
          <cell r="B20" t="str">
            <v>Хутин Юрий Александрович</v>
          </cell>
        </row>
        <row r="21">
          <cell r="C21">
            <v>8</v>
          </cell>
          <cell r="D21">
            <v>4</v>
          </cell>
          <cell r="E21">
            <v>4</v>
          </cell>
          <cell r="F21">
            <v>0</v>
          </cell>
          <cell r="G21">
            <v>20</v>
          </cell>
          <cell r="H21">
            <v>4</v>
          </cell>
          <cell r="I21">
            <v>4</v>
          </cell>
          <cell r="J21">
            <v>0</v>
          </cell>
          <cell r="K21">
            <v>4</v>
          </cell>
          <cell r="L21">
            <v>4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4</v>
          </cell>
          <cell r="Z21">
            <v>4</v>
          </cell>
          <cell r="AA21">
            <v>4</v>
          </cell>
          <cell r="AB21">
            <v>4</v>
          </cell>
          <cell r="AC21">
            <v>4</v>
          </cell>
          <cell r="AD21">
            <v>4</v>
          </cell>
          <cell r="AE21">
            <v>4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</row>
      </sheetData>
      <sheetData sheetId="18">
        <row r="17">
          <cell r="B17" t="str">
            <v>Безека Александр Владимирович</v>
          </cell>
        </row>
        <row r="18">
          <cell r="B18" t="str">
            <v>Моисеев Юрий Иванович</v>
          </cell>
        </row>
        <row r="19">
          <cell r="B19" t="str">
            <v>Орешкин Олег Николаевич</v>
          </cell>
        </row>
        <row r="20">
          <cell r="B20" t="str">
            <v>Прилипко Владимир Степанович</v>
          </cell>
        </row>
        <row r="21">
          <cell r="B21" t="str">
            <v>Рудняев Игорь Владимирович</v>
          </cell>
        </row>
        <row r="22">
          <cell r="B22" t="str">
            <v>Сазонов Николай Владимирович</v>
          </cell>
        </row>
        <row r="23">
          <cell r="C23">
            <v>0</v>
          </cell>
          <cell r="D23">
            <v>12</v>
          </cell>
          <cell r="E23">
            <v>0</v>
          </cell>
          <cell r="F23">
            <v>12</v>
          </cell>
          <cell r="G23">
            <v>0</v>
          </cell>
          <cell r="H23">
            <v>0</v>
          </cell>
          <cell r="I23">
            <v>12</v>
          </cell>
          <cell r="J23">
            <v>6</v>
          </cell>
          <cell r="K23">
            <v>12</v>
          </cell>
          <cell r="L23">
            <v>12</v>
          </cell>
          <cell r="M23">
            <v>6</v>
          </cell>
          <cell r="N23">
            <v>0</v>
          </cell>
          <cell r="O23">
            <v>6</v>
          </cell>
          <cell r="P23">
            <v>12</v>
          </cell>
          <cell r="Q23">
            <v>6</v>
          </cell>
          <cell r="R23">
            <v>0</v>
          </cell>
          <cell r="S23">
            <v>0</v>
          </cell>
          <cell r="T23">
            <v>0</v>
          </cell>
          <cell r="U23">
            <v>6</v>
          </cell>
          <cell r="V23">
            <v>0</v>
          </cell>
          <cell r="W23">
            <v>0</v>
          </cell>
          <cell r="X23">
            <v>0</v>
          </cell>
          <cell r="Y23">
            <v>6</v>
          </cell>
          <cell r="Z23">
            <v>6</v>
          </cell>
          <cell r="AA23">
            <v>0</v>
          </cell>
          <cell r="AB23">
            <v>0</v>
          </cell>
          <cell r="AC23">
            <v>0</v>
          </cell>
          <cell r="AD23">
            <v>6</v>
          </cell>
          <cell r="AE23">
            <v>0</v>
          </cell>
          <cell r="AF23">
            <v>0</v>
          </cell>
          <cell r="AG23">
            <v>6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6</v>
          </cell>
          <cell r="AM23">
            <v>0</v>
          </cell>
          <cell r="AN23">
            <v>6</v>
          </cell>
          <cell r="AO23">
            <v>6</v>
          </cell>
          <cell r="AP23">
            <v>0</v>
          </cell>
          <cell r="AQ23">
            <v>150</v>
          </cell>
          <cell r="AR23">
            <v>0</v>
          </cell>
          <cell r="AS23">
            <v>10</v>
          </cell>
        </row>
      </sheetData>
      <sheetData sheetId="19"/>
      <sheetData sheetId="20"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0454-CD9B-4240-B1FF-BF9D1A7364DE}">
  <dimension ref="A1:AT35"/>
  <sheetViews>
    <sheetView tabSelected="1" workbookViewId="0">
      <selection sqref="A1:XFD1048576"/>
    </sheetView>
  </sheetViews>
  <sheetFormatPr defaultRowHeight="21" x14ac:dyDescent="0.35"/>
  <cols>
    <col min="1" max="1" width="5.28515625" customWidth="1"/>
    <col min="2" max="2" width="42.5703125" customWidth="1"/>
    <col min="3" max="3" width="6.85546875" style="44" customWidth="1"/>
    <col min="4" max="7" width="5.7109375" style="2" customWidth="1"/>
    <col min="8" max="8" width="8" style="2" customWidth="1"/>
    <col min="9" max="43" width="5.7109375" style="2" customWidth="1"/>
    <col min="44" max="44" width="8.42578125" style="2" customWidth="1"/>
    <col min="45" max="46" width="5.7109375" style="2" customWidth="1"/>
  </cols>
  <sheetData>
    <row r="1" spans="1:46" x14ac:dyDescent="0.35">
      <c r="C1" s="1"/>
    </row>
    <row r="2" spans="1:46" x14ac:dyDescent="0.35">
      <c r="C2" s="1"/>
    </row>
    <row r="3" spans="1:46" x14ac:dyDescent="0.35">
      <c r="C3" s="1"/>
    </row>
    <row r="4" spans="1:46" x14ac:dyDescent="0.35">
      <c r="C4" s="1"/>
    </row>
    <row r="5" spans="1:46" x14ac:dyDescent="0.35">
      <c r="C5" s="1"/>
    </row>
    <row r="6" spans="1:46" x14ac:dyDescent="0.35">
      <c r="C6" s="1"/>
    </row>
    <row r="7" spans="1:46" x14ac:dyDescent="0.35">
      <c r="C7" s="1"/>
    </row>
    <row r="8" spans="1:46" x14ac:dyDescent="0.35">
      <c r="C8" s="1"/>
    </row>
    <row r="9" spans="1:46" x14ac:dyDescent="0.35">
      <c r="C9" s="1"/>
    </row>
    <row r="10" spans="1:46" ht="18.75" x14ac:dyDescent="0.25">
      <c r="A10" s="3" t="s">
        <v>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 ht="18.75" x14ac:dyDescent="0.25">
      <c r="A11" s="3" t="s">
        <v>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1:46" ht="18.75" x14ac:dyDescent="0.25">
      <c r="A12" s="3" t="s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x14ac:dyDescent="0.35">
      <c r="A13" s="4"/>
      <c r="B13" s="4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 t="s">
        <v>3</v>
      </c>
      <c r="S13" s="3" t="str">
        <f>'[1]Справочник-не смотрим!'!B1</f>
        <v>февраль</v>
      </c>
      <c r="T13" s="3"/>
      <c r="U13" s="3">
        <f>'[1]Справочник-не смотрим!'!B2</f>
        <v>2026</v>
      </c>
      <c r="V13" s="3"/>
      <c r="W13" s="4" t="s">
        <v>4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spans="1:46" x14ac:dyDescent="0.35">
      <c r="C14" s="1"/>
    </row>
    <row r="15" spans="1:46" ht="15.75" x14ac:dyDescent="0.25">
      <c r="A15" s="5" t="s">
        <v>5</v>
      </c>
      <c r="B15" s="6" t="s">
        <v>6</v>
      </c>
      <c r="C15" s="7" t="s">
        <v>7</v>
      </c>
      <c r="D15" s="8" t="s">
        <v>8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</row>
    <row r="16" spans="1:46" ht="343.5" x14ac:dyDescent="0.25">
      <c r="A16" s="9"/>
      <c r="B16" s="10"/>
      <c r="C16" s="11"/>
      <c r="D16" s="12" t="str">
        <f>'[1]ЗАЯВКА-не смотрим!'!B4</f>
        <v>Вода питьевая негазир. (5 л.)</v>
      </c>
      <c r="E16" s="13" t="str">
        <f>'[1]ЗАЯВКА-не смотрим!'!B5</f>
        <v>Туалетная бумага "Набережные Челны" (рул.)</v>
      </c>
      <c r="F16" s="13" t="str">
        <f>'[1]ЗАЯВКА-не смотрим!'!B6</f>
        <v>Чай черный ГОСТ (100 гр.)</v>
      </c>
      <c r="G16" s="13" t="str">
        <f>'[1]ЗАЯВКА-не смотрим!'!B7</f>
        <v>Чай черный пакетированный (25 пак.)</v>
      </c>
      <c r="H16" s="13" t="str">
        <f>'[1]ЗАЯВКА-не смотрим!'!B8</f>
        <v xml:space="preserve">Станки для бритья "Джилет Blue II Maximum" однораз. </v>
      </c>
      <c r="I16" s="13" t="str">
        <f>'[1]ЗАЯВКА-не смотрим!'!B9</f>
        <v>Говядина тушеная ж/б (325 гр. ключ)</v>
      </c>
      <c r="J16" s="13" t="str">
        <f>'[1]ЗАЯВКА-не смотрим!'!B10</f>
        <v>Колбаса вареная "Докторская" ГОСТ (400 гр.)</v>
      </c>
      <c r="K16" s="13" t="str">
        <f>'[1]ЗАЯВКА-не смотрим!'!B11</f>
        <v>Зефир Беково (белый, розовый, 250 гр.)</v>
      </c>
      <c r="L16" s="13" t="str">
        <f>'[1]ЗАЯВКА-не смотрим!'!B12</f>
        <v>Ветчина в ассртименте ж/б (325 гр. ключ)</v>
      </c>
      <c r="M16" s="13" t="str">
        <f>'[1]ЗАЯВКА-не смотрим!'!B13</f>
        <v>Сыр в ассортименте (200 гр.)</v>
      </c>
      <c r="N16" s="13" t="str">
        <f>'[1]ЗАЯВКА-не смотрим!'!B14</f>
        <v xml:space="preserve">Вафли в ассортименте (200 гр.) </v>
      </c>
      <c r="O16" s="14" t="str">
        <f>'[1]ЗАЯВКА-не смотрим!'!B15</f>
        <v>Кофе растворимый черный в мягкой упаковке Monarch (150 г)</v>
      </c>
      <c r="P16" s="13" t="str">
        <f>'[1]ЗАЯВКА-не смотрим!'!B16</f>
        <v>Джем Махеевъ дой-пак 300 г в ассортименте</v>
      </c>
      <c r="Q16" s="13" t="str">
        <f>'[1]ЗАЯВКА-не смотрим!'!B17</f>
        <v>Колбаса в/к ГОСТ (400 гр.)</v>
      </c>
      <c r="R16" s="13" t="str">
        <f>'[1]ЗАЯВКА-не смотрим!'!B18</f>
        <v>Шпроты в масле ж/б (160 гр., ключ)</v>
      </c>
      <c r="S16" s="13" t="str">
        <f>'[1]ЗАЯВКА-не смотрим!'!B19</f>
        <v>Прияники с начинкой "Яшкино" 250 гр.</v>
      </c>
      <c r="T16" s="15" t="str">
        <f>'[1]ЗАЯВКА-не смотрим!'!B20</f>
        <v>Мини - рулеты (175 гр.)</v>
      </c>
      <c r="U16" s="13" t="str">
        <f>'[1]ЗАЯВКА-не смотрим!'!B21</f>
        <v>Мыло хозяйственное 72%  (200 гр.)</v>
      </c>
      <c r="V16" s="13" t="str">
        <f>'[1]ЗАЯВКА-не смотрим!'!B22</f>
        <v>Конфеты шоколадные фасованные в ассортименте (250 гр.)</v>
      </c>
      <c r="W16" s="13" t="str">
        <f>'[1]ЗАЯВКА-не смотрим!'!B23</f>
        <v>Печенье сахарное фасованное (200гр.)</v>
      </c>
      <c r="X16" s="13" t="str">
        <f>'[1]ЗАЯВКА-не смотрим!'!B24</f>
        <v>Консервы рыбные в ассортименте ж/б (230 гр., ключ)</v>
      </c>
      <c r="Y16" s="15" t="str">
        <f>'[1]ЗАЯВКА-не смотрим!'!B25</f>
        <v>Освежитель воздуха (200 мл.)</v>
      </c>
      <c r="Z16" s="13" t="str">
        <f>'[1]ЗАЯВКА-не смотрим!'!B26</f>
        <v>Жидкое мыло (200 мл.)</v>
      </c>
      <c r="AA16" s="13" t="str">
        <f>'[1]ЗАЯВКА-не смотрим!'!B27</f>
        <v>Лукум Беково (250 гр.)</v>
      </c>
      <c r="AB16" s="13" t="str">
        <f>'[1]ЗАЯВКА-не смотрим!'!B28</f>
        <v>Мармелад диабетический на фруктозе (200гр.)</v>
      </c>
      <c r="AC16" s="13" t="str">
        <f>'[1]ЗАЯВКА-не смотрим!'!B29</f>
        <v>Конфеты диабетические (200 гр.)</v>
      </c>
      <c r="AD16" s="13" t="str">
        <f>'[1]ЗАЯВКА-не смотрим!'!B30</f>
        <v>Паштет "Знаток" ж/б (250 гр., ключ)</v>
      </c>
      <c r="AE16" s="13" t="str">
        <f>'[1]ЗАЯВКА-не смотрим!'!B31</f>
        <v>Печенье диабетическое "Мария" (250гр.)</v>
      </c>
      <c r="AF16" s="13" t="str">
        <f>'[1]ЗАЯВКА-не смотрим!'!B32</f>
        <v>Крекер соленый (180 гр.)</v>
      </c>
      <c r="AG16" s="13" t="str">
        <f>'[1]ЗАЯВКА-не смотрим!'!B33</f>
        <v>Печенье детское Бонди Бегемотик (180 гр.)</v>
      </c>
      <c r="AH16" s="13" t="str">
        <f>'[1]ЗАЯВКА-не смотрим!'!B34</f>
        <v>Килька Балтийская в томтном соусе 240 г ключ</v>
      </c>
      <c r="AI16" s="13" t="str">
        <f>'[1]ЗАЯВКА-не смотрим!'!B35</f>
        <v>Паштет HAME из гусиной печени (105 гр.)</v>
      </c>
      <c r="AJ16" s="13" t="str">
        <f>'[1]ЗАЯВКА-не смотрим!'!B36</f>
        <v>Паштет HAME с мясом птицы (105 гр.)</v>
      </c>
      <c r="AK16" s="13" t="str">
        <f>'[1]ЗАЯВКА-не смотрим!'!B37</f>
        <v>Паштет HAME с мясом индейки (105 гр.)</v>
      </c>
      <c r="AL16" s="13" t="str">
        <f>'[1]ЗАЯВКА-не смотрим!'!B38</f>
        <v>Мини - кексы (250 гр.)</v>
      </c>
      <c r="AM16" s="13" t="str">
        <f>'[1]ЗАЯВКА-не смотрим!'!B39</f>
        <v>Сыр плавленный "Вкуснотеево" (ванночка, 200 гр.)</v>
      </c>
      <c r="AN16" s="13" t="str">
        <f>'[1]ЗАЯВКА-не смотрим!'!B40</f>
        <v>Зефир в шоколаде Беково (250 гр.)</v>
      </c>
      <c r="AO16" s="13" t="str">
        <f>'[1]ЗАЯВКА-не смотрим!'!B41</f>
        <v>Сахар рафинад (500 гр.)</v>
      </c>
      <c r="AP16" s="13" t="str">
        <f>'[1]ЗАЯВКА-не смотрим!'!B42</f>
        <v>Сок в ассортименте (1 л.)</v>
      </c>
      <c r="AQ16" s="13" t="str">
        <f>'[1]ЗАЯВКА-не смотрим!'!B43</f>
        <v>Пена для бритья "АРКО" (200мл)</v>
      </c>
      <c r="AR16" s="13" t="str">
        <f>'[1]ЗАЯВКА-не смотрим!'!B44</f>
        <v>Сигареты с фильтром в пачке (20 сигарет)</v>
      </c>
      <c r="AS16" s="13" t="str">
        <f>'[1]ЗАЯВКА-не смотрим!'!B45</f>
        <v>Туалетная вода, 200 мл</v>
      </c>
      <c r="AT16" s="13" t="str">
        <f>'[1]ЗАЯВКА-не смотрим!'!B46</f>
        <v>Зажигалка</v>
      </c>
    </row>
    <row r="17" spans="1:46" ht="29.25" thickBot="1" x14ac:dyDescent="0.3">
      <c r="A17" s="9"/>
      <c r="B17" s="10"/>
      <c r="C17" s="16" t="s">
        <v>9</v>
      </c>
      <c r="D17" s="17" t="str">
        <f>'[1]ЗАЯВКА-не смотрим!'!C4</f>
        <v>бут.</v>
      </c>
      <c r="E17" s="18" t="str">
        <f>'[1]ЗАЯВКА-не смотрим!'!C5</f>
        <v>шт.</v>
      </c>
      <c r="F17" s="19" t="str">
        <f>'[1]ЗАЯВКА-не смотрим!'!C6</f>
        <v>упак.</v>
      </c>
      <c r="G17" s="19" t="str">
        <f>'[1]ЗАЯВКА-не смотрим!'!C7</f>
        <v>упак.</v>
      </c>
      <c r="H17" s="18" t="str">
        <f>'[1]ЗАЯВКА-не смотрим!'!C8</f>
        <v>шт.</v>
      </c>
      <c r="I17" s="18" t="str">
        <f>'[1]ЗАЯВКА-не смотрим!'!C9</f>
        <v>шт.</v>
      </c>
      <c r="J17" s="18" t="str">
        <f>'[1]ЗАЯВКА-не смотрим!'!C10</f>
        <v>шт.</v>
      </c>
      <c r="K17" s="19" t="str">
        <f>'[1]ЗАЯВКА-не смотрим!'!C11</f>
        <v>упак.</v>
      </c>
      <c r="L17" s="18" t="str">
        <f>'[1]ЗАЯВКА-не смотрим!'!C12</f>
        <v>шт.</v>
      </c>
      <c r="M17" s="18" t="str">
        <f>'[1]ЗАЯВКА-не смотрим!'!C13</f>
        <v>шт.</v>
      </c>
      <c r="N17" s="19" t="str">
        <f>'[1]ЗАЯВКА-не смотрим!'!C14</f>
        <v>упак.</v>
      </c>
      <c r="O17" s="18" t="str">
        <f>'[1]ЗАЯВКА-не смотрим!'!C15</f>
        <v>шт.</v>
      </c>
      <c r="P17" s="18" t="str">
        <f>'[1]ЗАЯВКА-не смотрим!'!C16</f>
        <v>шт.</v>
      </c>
      <c r="Q17" s="18" t="str">
        <f>'[1]ЗАЯВКА-не смотрим!'!C17</f>
        <v>шт.</v>
      </c>
      <c r="R17" s="18" t="str">
        <f>'[1]ЗАЯВКА-не смотрим!'!C18</f>
        <v>шт.</v>
      </c>
      <c r="S17" s="19" t="str">
        <f>'[1]ЗАЯВКА-не смотрим!'!C19</f>
        <v>упак.</v>
      </c>
      <c r="T17" s="19" t="str">
        <f>'[1]ЗАЯВКА-не смотрим!'!C20</f>
        <v>упак.</v>
      </c>
      <c r="U17" s="18" t="str">
        <f>'[1]ЗАЯВКА-не смотрим!'!C21</f>
        <v>шт.</v>
      </c>
      <c r="V17" s="19" t="str">
        <f>'[1]ЗАЯВКА-не смотрим!'!C22</f>
        <v>упак.</v>
      </c>
      <c r="W17" s="19" t="str">
        <f>'[1]ЗАЯВКА-не смотрим!'!C23</f>
        <v>упак.</v>
      </c>
      <c r="X17" s="18" t="str">
        <f>'[1]ЗАЯВКА-не смотрим!'!C24</f>
        <v>шт.</v>
      </c>
      <c r="Y17" s="18" t="str">
        <f>'[1]ЗАЯВКА-не смотрим!'!C25</f>
        <v>шт.</v>
      </c>
      <c r="Z17" s="18" t="str">
        <f>'[1]ЗАЯВКА-не смотрим!'!C26</f>
        <v>шт.</v>
      </c>
      <c r="AA17" s="19" t="str">
        <f>'[1]ЗАЯВКА-не смотрим!'!C27</f>
        <v>упак.</v>
      </c>
      <c r="AB17" s="19" t="str">
        <f>'[1]ЗАЯВКА-не смотрим!'!C28</f>
        <v>упак.</v>
      </c>
      <c r="AC17" s="19" t="str">
        <f>'[1]ЗАЯВКА-не смотрим!'!C29</f>
        <v>упак.</v>
      </c>
      <c r="AD17" s="18" t="str">
        <f>'[1]ЗАЯВКА-не смотрим!'!C30</f>
        <v>шт.</v>
      </c>
      <c r="AE17" s="19" t="str">
        <f>'[1]ЗАЯВКА-не смотрим!'!C31</f>
        <v>упак.</v>
      </c>
      <c r="AF17" s="19" t="str">
        <f>'[1]ЗАЯВКА-не смотрим!'!C32</f>
        <v>упак.</v>
      </c>
      <c r="AG17" s="19" t="str">
        <f>'[1]ЗАЯВКА-не смотрим!'!C33</f>
        <v>упак.</v>
      </c>
      <c r="AH17" s="18" t="str">
        <f>'[1]ЗАЯВКА-не смотрим!'!C34</f>
        <v>шт.</v>
      </c>
      <c r="AI17" s="18" t="str">
        <f>'[1]ЗАЯВКА-не смотрим!'!C35</f>
        <v>шт.</v>
      </c>
      <c r="AJ17" s="18" t="str">
        <f>'[1]ЗАЯВКА-не смотрим!'!C36</f>
        <v>шт.</v>
      </c>
      <c r="AK17" s="18" t="str">
        <f>'[1]ЗАЯВКА-не смотрим!'!C37</f>
        <v>шт.</v>
      </c>
      <c r="AL17" s="19" t="str">
        <f>'[1]ЗАЯВКА-не смотрим!'!C38</f>
        <v>упак.</v>
      </c>
      <c r="AM17" s="18" t="str">
        <f>'[1]ЗАЯВКА-не смотрим!'!C39</f>
        <v>шт.</v>
      </c>
      <c r="AN17" s="19" t="str">
        <f>'[1]ЗАЯВКА-не смотрим!'!C40</f>
        <v>упак.</v>
      </c>
      <c r="AO17" s="19" t="str">
        <f>'[1]ЗАЯВКА-не смотрим!'!C41</f>
        <v>упак.</v>
      </c>
      <c r="AP17" s="18" t="str">
        <f>'[1]ЗАЯВКА-не смотрим!'!C42</f>
        <v>шт.</v>
      </c>
      <c r="AQ17" s="18" t="str">
        <f>'[1]ЗАЯВКА-не смотрим!'!C43</f>
        <v>шт.</v>
      </c>
      <c r="AR17" s="18" t="str">
        <f>'[1]ЗАЯВКА-не смотрим!'!C44</f>
        <v>пач.</v>
      </c>
      <c r="AS17" s="18" t="str">
        <f>'[1]ЗАЯВКА-не смотрим!'!C45</f>
        <v>шт.</v>
      </c>
      <c r="AT17" s="18" t="str">
        <f>'[1]ЗАЯВКА-не смотрим!'!C46</f>
        <v>шт.</v>
      </c>
    </row>
    <row r="18" spans="1:46" ht="21.75" thickBot="1" x14ac:dyDescent="0.3">
      <c r="A18" s="20">
        <v>1</v>
      </c>
      <c r="B18" s="21" t="s">
        <v>10</v>
      </c>
      <c r="C18" s="22">
        <f>COUNTA('[1]1-П'!B13:B51)</f>
        <v>39</v>
      </c>
      <c r="D18" s="23">
        <f>'[1]1-П'!C52</f>
        <v>78</v>
      </c>
      <c r="E18" s="23">
        <f>'[1]1-П'!D52</f>
        <v>39</v>
      </c>
      <c r="F18" s="23">
        <f>'[1]1-П'!E52</f>
        <v>39</v>
      </c>
      <c r="G18" s="23">
        <f>'[1]1-П'!F52</f>
        <v>0</v>
      </c>
      <c r="H18" s="23">
        <f>'[1]1-П'!G52</f>
        <v>195</v>
      </c>
      <c r="I18" s="23">
        <f>'[1]1-П'!H52</f>
        <v>39</v>
      </c>
      <c r="J18" s="23">
        <f>'[1]1-П'!I52</f>
        <v>39</v>
      </c>
      <c r="K18" s="23">
        <f>'[1]1-П'!J52</f>
        <v>0</v>
      </c>
      <c r="L18" s="23">
        <f>'[1]1-П'!K52</f>
        <v>39</v>
      </c>
      <c r="M18" s="23">
        <f>'[1]1-П'!L52</f>
        <v>39</v>
      </c>
      <c r="N18" s="23">
        <f>'[1]1-П'!M52</f>
        <v>39</v>
      </c>
      <c r="O18" s="23">
        <f>'[1]1-П'!N52</f>
        <v>0</v>
      </c>
      <c r="P18" s="23">
        <f>'[1]1-П'!O52</f>
        <v>39</v>
      </c>
      <c r="Q18" s="23">
        <f>'[1]1-П'!P52</f>
        <v>39</v>
      </c>
      <c r="R18" s="23">
        <f>'[1]1-П'!Q52</f>
        <v>0</v>
      </c>
      <c r="S18" s="23">
        <f>'[1]1-П'!R52</f>
        <v>0</v>
      </c>
      <c r="T18" s="23">
        <f>'[1]1-П'!S52</f>
        <v>39</v>
      </c>
      <c r="U18" s="23">
        <f>'[1]1-П'!T52</f>
        <v>0</v>
      </c>
      <c r="V18" s="23">
        <f>'[1]1-П'!U52</f>
        <v>39</v>
      </c>
      <c r="W18" s="23">
        <f>'[1]1-П'!V52</f>
        <v>39</v>
      </c>
      <c r="X18" s="23">
        <f>'[1]1-П'!W52</f>
        <v>0</v>
      </c>
      <c r="Y18" s="23">
        <f>'[1]1-П'!X52</f>
        <v>0</v>
      </c>
      <c r="Z18" s="23">
        <f>'[1]1-П'!Y52</f>
        <v>39</v>
      </c>
      <c r="AA18" s="23">
        <f>'[1]1-П'!Z52</f>
        <v>0</v>
      </c>
      <c r="AB18" s="23">
        <f>'[1]1-П'!AA52</f>
        <v>0</v>
      </c>
      <c r="AC18" s="23">
        <f>'[1]1-П'!AB52</f>
        <v>0</v>
      </c>
      <c r="AD18" s="23">
        <f>'[1]1-П'!AC52</f>
        <v>39</v>
      </c>
      <c r="AE18" s="23">
        <f>'[1]1-П'!AD52</f>
        <v>0</v>
      </c>
      <c r="AF18" s="23">
        <f>'[1]1-П'!AE52</f>
        <v>0</v>
      </c>
      <c r="AG18" s="23">
        <f>'[1]1-П'!AF52</f>
        <v>0</v>
      </c>
      <c r="AH18" s="23">
        <f>'[1]1-П'!AG52</f>
        <v>0</v>
      </c>
      <c r="AI18" s="23">
        <f>'[1]1-П'!AH52</f>
        <v>0</v>
      </c>
      <c r="AJ18" s="23">
        <f>'[1]1-П'!AI52</f>
        <v>0</v>
      </c>
      <c r="AK18" s="23">
        <f>'[1]1-П'!AJ52</f>
        <v>0</v>
      </c>
      <c r="AL18" s="23">
        <f>'[1]1-П'!AK52</f>
        <v>0</v>
      </c>
      <c r="AM18" s="23">
        <f>'[1]1-П'!AL52</f>
        <v>0</v>
      </c>
      <c r="AN18" s="23">
        <f>'[1]1-П'!AM52</f>
        <v>0</v>
      </c>
      <c r="AO18" s="23">
        <f>'[1]1-П'!AN52</f>
        <v>39</v>
      </c>
      <c r="AP18" s="23">
        <f>'[1]1-П'!AO52</f>
        <v>0</v>
      </c>
      <c r="AQ18" s="23">
        <f>'[1]1-П'!AP52</f>
        <v>0</v>
      </c>
      <c r="AR18" s="23">
        <f>'[1]1-П'!AQ52</f>
        <v>500</v>
      </c>
      <c r="AS18" s="23">
        <f>'[1]1-П'!AR52</f>
        <v>0</v>
      </c>
      <c r="AT18" s="23">
        <f>'[1]1-П'!AS52</f>
        <v>0</v>
      </c>
    </row>
    <row r="19" spans="1:46" ht="21.75" thickBot="1" x14ac:dyDescent="0.3">
      <c r="A19" s="24">
        <v>2</v>
      </c>
      <c r="B19" s="25" t="s">
        <v>11</v>
      </c>
      <c r="C19" s="22">
        <f>COUNTA('[1]1-С'!B17:B54)</f>
        <v>38</v>
      </c>
      <c r="D19" s="26">
        <f>'[1]1-С'!C55</f>
        <v>76</v>
      </c>
      <c r="E19" s="26">
        <f>'[1]1-С'!D55</f>
        <v>38</v>
      </c>
      <c r="F19" s="26">
        <f>'[1]1-С'!E55</f>
        <v>38</v>
      </c>
      <c r="G19" s="26">
        <f>'[1]1-С'!F55</f>
        <v>0</v>
      </c>
      <c r="H19" s="26">
        <f>'[1]1-С'!G55</f>
        <v>190</v>
      </c>
      <c r="I19" s="26">
        <f>'[1]1-С'!H55</f>
        <v>38</v>
      </c>
      <c r="J19" s="26">
        <f>'[1]1-С'!I55</f>
        <v>38</v>
      </c>
      <c r="K19" s="26">
        <f>'[1]1-С'!J55</f>
        <v>0</v>
      </c>
      <c r="L19" s="26">
        <f>'[1]1-С'!K55</f>
        <v>38</v>
      </c>
      <c r="M19" s="26">
        <f>'[1]1-С'!L55</f>
        <v>38</v>
      </c>
      <c r="N19" s="26">
        <f>'[1]1-С'!M55</f>
        <v>38</v>
      </c>
      <c r="O19" s="26">
        <f>'[1]1-С'!N55</f>
        <v>0</v>
      </c>
      <c r="P19" s="26">
        <f>'[1]1-С'!O55</f>
        <v>0</v>
      </c>
      <c r="Q19" s="26">
        <f>'[1]1-С'!P55</f>
        <v>38</v>
      </c>
      <c r="R19" s="26">
        <f>'[1]1-С'!Q55</f>
        <v>0</v>
      </c>
      <c r="S19" s="26">
        <f>'[1]1-С'!R55</f>
        <v>0</v>
      </c>
      <c r="T19" s="26">
        <f>'[1]1-С'!S55</f>
        <v>38</v>
      </c>
      <c r="U19" s="26">
        <f>'[1]1-С'!T55</f>
        <v>0</v>
      </c>
      <c r="V19" s="26">
        <f>'[1]1-С'!U55</f>
        <v>0</v>
      </c>
      <c r="W19" s="26">
        <f>'[1]1-С'!V55</f>
        <v>0</v>
      </c>
      <c r="X19" s="26">
        <f>'[1]1-С'!W55</f>
        <v>0</v>
      </c>
      <c r="Y19" s="26">
        <f>'[1]1-С'!X55</f>
        <v>0</v>
      </c>
      <c r="Z19" s="26">
        <f>'[1]1-С'!Y55</f>
        <v>38</v>
      </c>
      <c r="AA19" s="26">
        <f>'[1]1-С'!Z55</f>
        <v>0</v>
      </c>
      <c r="AB19" s="26">
        <f>'[1]1-С'!AA55</f>
        <v>0</v>
      </c>
      <c r="AC19" s="26">
        <f>'[1]1-С'!AB55</f>
        <v>0</v>
      </c>
      <c r="AD19" s="26">
        <f>'[1]1-С'!AC55</f>
        <v>38</v>
      </c>
      <c r="AE19" s="26">
        <f>'[1]1-С'!AD55</f>
        <v>0</v>
      </c>
      <c r="AF19" s="26">
        <f>'[1]1-С'!AE55</f>
        <v>0</v>
      </c>
      <c r="AG19" s="26">
        <f>'[1]1-С'!AF55</f>
        <v>0</v>
      </c>
      <c r="AH19" s="26">
        <f>'[1]1-С'!AG55</f>
        <v>0</v>
      </c>
      <c r="AI19" s="26">
        <f>'[1]1-С'!AH55</f>
        <v>0</v>
      </c>
      <c r="AJ19" s="26">
        <f>'[1]1-С'!AI55</f>
        <v>0</v>
      </c>
      <c r="AK19" s="26">
        <f>'[1]1-С'!AJ55</f>
        <v>0</v>
      </c>
      <c r="AL19" s="26">
        <f>'[1]1-С'!AK55</f>
        <v>0</v>
      </c>
      <c r="AM19" s="26">
        <f>'[1]1-С'!AL55</f>
        <v>0</v>
      </c>
      <c r="AN19" s="26">
        <f>'[1]1-С'!AM55</f>
        <v>0</v>
      </c>
      <c r="AO19" s="26">
        <f>'[1]1-С'!AN55</f>
        <v>38</v>
      </c>
      <c r="AP19" s="26">
        <f>'[1]1-С'!AO55</f>
        <v>0</v>
      </c>
      <c r="AQ19" s="26">
        <f>'[1]1-С'!AP55</f>
        <v>0</v>
      </c>
      <c r="AR19" s="26">
        <f>'[1]1-С'!AQ55</f>
        <v>320</v>
      </c>
      <c r="AS19" s="26">
        <f>'[1]1-С'!AR55</f>
        <v>0</v>
      </c>
      <c r="AT19" s="26">
        <f>'[1]1-С'!AS55</f>
        <v>0</v>
      </c>
    </row>
    <row r="20" spans="1:46" ht="21.75" thickBot="1" x14ac:dyDescent="0.3">
      <c r="A20" s="20">
        <v>3</v>
      </c>
      <c r="B20" s="21" t="s">
        <v>12</v>
      </c>
      <c r="C20" s="27">
        <f>COUNTA('[1]2-П'!B17:B78)</f>
        <v>62</v>
      </c>
      <c r="D20" s="23">
        <f>'[1]2-П'!C79</f>
        <v>124</v>
      </c>
      <c r="E20" s="23">
        <f>'[1]2-П'!D79</f>
        <v>62</v>
      </c>
      <c r="F20" s="23">
        <f>'[1]2-П'!E79</f>
        <v>0</v>
      </c>
      <c r="G20" s="23">
        <f>'[1]2-П'!F79</f>
        <v>0</v>
      </c>
      <c r="H20" s="23">
        <f>'[1]2-П'!G79</f>
        <v>310</v>
      </c>
      <c r="I20" s="23">
        <f>'[1]2-П'!H79</f>
        <v>62</v>
      </c>
      <c r="J20" s="23">
        <f>'[1]2-П'!I79</f>
        <v>62</v>
      </c>
      <c r="K20" s="23">
        <f>'[1]2-П'!J79</f>
        <v>0</v>
      </c>
      <c r="L20" s="23">
        <f>'[1]2-П'!K79</f>
        <v>62</v>
      </c>
      <c r="M20" s="23">
        <f>'[1]2-П'!L79</f>
        <v>62</v>
      </c>
      <c r="N20" s="23">
        <f>'[1]2-П'!M79</f>
        <v>62</v>
      </c>
      <c r="O20" s="23">
        <f>'[1]2-П'!N79</f>
        <v>0</v>
      </c>
      <c r="P20" s="23">
        <f>'[1]2-П'!O79</f>
        <v>62</v>
      </c>
      <c r="Q20" s="23">
        <f>'[1]2-П'!P79</f>
        <v>62</v>
      </c>
      <c r="R20" s="23">
        <f>'[1]2-П'!Q79</f>
        <v>0</v>
      </c>
      <c r="S20" s="23">
        <f>'[1]2-П'!R79</f>
        <v>0</v>
      </c>
      <c r="T20" s="23">
        <f>'[1]2-П'!S79</f>
        <v>62</v>
      </c>
      <c r="U20" s="23">
        <f>'[1]2-П'!T79</f>
        <v>0</v>
      </c>
      <c r="V20" s="23">
        <f>'[1]2-П'!U79</f>
        <v>62</v>
      </c>
      <c r="W20" s="23">
        <f>'[1]2-П'!V79</f>
        <v>62</v>
      </c>
      <c r="X20" s="23">
        <f>'[1]2-П'!W79</f>
        <v>0</v>
      </c>
      <c r="Y20" s="23">
        <f>'[1]2-П'!X79</f>
        <v>0</v>
      </c>
      <c r="Z20" s="23">
        <f>'[1]2-П'!Y79</f>
        <v>62</v>
      </c>
      <c r="AA20" s="23">
        <f>'[1]2-П'!Z79</f>
        <v>0</v>
      </c>
      <c r="AB20" s="23">
        <f>'[1]2-П'!AA79</f>
        <v>0</v>
      </c>
      <c r="AC20" s="23">
        <f>'[1]2-П'!AB79</f>
        <v>0</v>
      </c>
      <c r="AD20" s="23">
        <f>'[1]2-П'!AC79</f>
        <v>62</v>
      </c>
      <c r="AE20" s="23">
        <f>'[1]2-П'!AD79</f>
        <v>0</v>
      </c>
      <c r="AF20" s="23">
        <f>'[1]2-П'!AE79</f>
        <v>0</v>
      </c>
      <c r="AG20" s="23">
        <f>'[1]2-П'!AF79</f>
        <v>0</v>
      </c>
      <c r="AH20" s="23">
        <f>'[1]2-П'!AG79</f>
        <v>0</v>
      </c>
      <c r="AI20" s="23">
        <f>'[1]2-П'!AH79</f>
        <v>0</v>
      </c>
      <c r="AJ20" s="23">
        <f>'[1]2-П'!AI79</f>
        <v>0</v>
      </c>
      <c r="AK20" s="23">
        <f>'[1]2-П'!AJ79</f>
        <v>0</v>
      </c>
      <c r="AL20" s="23">
        <f>'[1]2-П'!AK79</f>
        <v>0</v>
      </c>
      <c r="AM20" s="23">
        <f>'[1]2-П'!AL79</f>
        <v>0</v>
      </c>
      <c r="AN20" s="23">
        <f>'[1]2-П'!AM79</f>
        <v>0</v>
      </c>
      <c r="AO20" s="23">
        <f>'[1]2-П'!AN79</f>
        <v>62</v>
      </c>
      <c r="AP20" s="23">
        <f>'[1]2-П'!AO79</f>
        <v>0</v>
      </c>
      <c r="AQ20" s="23">
        <f>'[1]2-П'!AP79</f>
        <v>0</v>
      </c>
      <c r="AR20" s="23">
        <f>'[1]2-П'!AQ79</f>
        <v>560</v>
      </c>
      <c r="AS20" s="23">
        <f>'[1]2-П'!AR79</f>
        <v>0</v>
      </c>
      <c r="AT20" s="23">
        <f>'[1]2-П'!AS79</f>
        <v>0</v>
      </c>
    </row>
    <row r="21" spans="1:46" ht="21.75" thickBot="1" x14ac:dyDescent="0.3">
      <c r="A21" s="28">
        <v>4</v>
      </c>
      <c r="B21" s="29" t="s">
        <v>13</v>
      </c>
      <c r="C21" s="27">
        <f>COUNTA('[1]2-С'!B17:B47)</f>
        <v>31</v>
      </c>
      <c r="D21" s="30">
        <f>'[1]2-С'!C48</f>
        <v>60</v>
      </c>
      <c r="E21" s="30">
        <f>'[1]2-С'!D48</f>
        <v>30</v>
      </c>
      <c r="F21" s="30">
        <f>'[1]2-С'!E48</f>
        <v>0</v>
      </c>
      <c r="G21" s="30">
        <f>'[1]2-С'!F48</f>
        <v>0</v>
      </c>
      <c r="H21" s="30">
        <f>'[1]2-С'!G48</f>
        <v>150</v>
      </c>
      <c r="I21" s="30">
        <f>'[1]2-С'!H48</f>
        <v>30</v>
      </c>
      <c r="J21" s="30">
        <f>'[1]2-С'!I48</f>
        <v>30</v>
      </c>
      <c r="K21" s="30">
        <f>'[1]2-С'!J48</f>
        <v>0</v>
      </c>
      <c r="L21" s="30">
        <f>'[1]2-С'!K48</f>
        <v>30</v>
      </c>
      <c r="M21" s="30">
        <f>'[1]2-С'!L48</f>
        <v>30</v>
      </c>
      <c r="N21" s="30">
        <f>'[1]2-С'!M48</f>
        <v>30</v>
      </c>
      <c r="O21" s="30">
        <f>'[1]2-С'!N48</f>
        <v>0</v>
      </c>
      <c r="P21" s="30">
        <f>'[1]2-С'!O48</f>
        <v>0</v>
      </c>
      <c r="Q21" s="30">
        <f>'[1]2-С'!P48</f>
        <v>30</v>
      </c>
      <c r="R21" s="30">
        <f>'[1]2-С'!Q48</f>
        <v>0</v>
      </c>
      <c r="S21" s="30">
        <f>'[1]2-С'!R48</f>
        <v>0</v>
      </c>
      <c r="T21" s="30">
        <f>'[1]2-С'!S48</f>
        <v>30</v>
      </c>
      <c r="U21" s="30">
        <f>'[1]2-С'!T48</f>
        <v>0</v>
      </c>
      <c r="V21" s="30">
        <f>'[1]2-С'!U48</f>
        <v>0</v>
      </c>
      <c r="W21" s="30">
        <f>'[1]2-С'!V48</f>
        <v>0</v>
      </c>
      <c r="X21" s="30">
        <f>'[1]2-С'!W48</f>
        <v>0</v>
      </c>
      <c r="Y21" s="30">
        <f>'[1]2-С'!X48</f>
        <v>0</v>
      </c>
      <c r="Z21" s="30">
        <f>'[1]2-С'!Y48</f>
        <v>30</v>
      </c>
      <c r="AA21" s="30">
        <f>'[1]2-С'!Z48</f>
        <v>0</v>
      </c>
      <c r="AB21" s="30">
        <f>'[1]2-С'!AA48</f>
        <v>0</v>
      </c>
      <c r="AC21" s="30">
        <f>'[1]2-С'!AB48</f>
        <v>0</v>
      </c>
      <c r="AD21" s="30">
        <f>'[1]2-С'!AC48</f>
        <v>30</v>
      </c>
      <c r="AE21" s="30">
        <f>'[1]2-С'!AD48</f>
        <v>0</v>
      </c>
      <c r="AF21" s="30">
        <f>'[1]2-С'!AE48</f>
        <v>0</v>
      </c>
      <c r="AG21" s="30">
        <f>'[1]2-С'!AF48</f>
        <v>0</v>
      </c>
      <c r="AH21" s="30">
        <f>'[1]2-С'!AG48</f>
        <v>0</v>
      </c>
      <c r="AI21" s="30">
        <f>'[1]2-С'!AH48</f>
        <v>0</v>
      </c>
      <c r="AJ21" s="30">
        <f>'[1]2-С'!AI48</f>
        <v>0</v>
      </c>
      <c r="AK21" s="30">
        <f>'[1]2-С'!AJ48</f>
        <v>0</v>
      </c>
      <c r="AL21" s="30">
        <f>'[1]2-С'!AK48</f>
        <v>0</v>
      </c>
      <c r="AM21" s="30">
        <f>'[1]2-С'!AL48</f>
        <v>0</v>
      </c>
      <c r="AN21" s="30">
        <f>'[1]2-С'!AM48</f>
        <v>0</v>
      </c>
      <c r="AO21" s="30">
        <f>'[1]2-С'!AN48</f>
        <v>30</v>
      </c>
      <c r="AP21" s="30">
        <f>'[1]2-С'!AO48</f>
        <v>0</v>
      </c>
      <c r="AQ21" s="30">
        <f>'[1]2-С'!AP48</f>
        <v>0</v>
      </c>
      <c r="AR21" s="30">
        <f>'[1]2-С'!AQ48</f>
        <v>260</v>
      </c>
      <c r="AS21" s="30">
        <f>'[1]2-С'!AR48</f>
        <v>0</v>
      </c>
      <c r="AT21" s="30">
        <f>'[1]2-С'!AS48</f>
        <v>0</v>
      </c>
    </row>
    <row r="22" spans="1:46" ht="21.75" thickBot="1" x14ac:dyDescent="0.3">
      <c r="A22" s="24">
        <v>5</v>
      </c>
      <c r="B22" s="25" t="s">
        <v>14</v>
      </c>
      <c r="C22" s="27">
        <f>COUNTA('[1]2-СД'!B17:B19)</f>
        <v>3</v>
      </c>
      <c r="D22" s="31">
        <f>'[1]2-СД'!C20</f>
        <v>6</v>
      </c>
      <c r="E22" s="31">
        <f>'[1]2-СД'!D20</f>
        <v>3</v>
      </c>
      <c r="F22" s="31">
        <f>'[1]2-СД'!E20</f>
        <v>0</v>
      </c>
      <c r="G22" s="31">
        <f>'[1]2-СД'!F20</f>
        <v>0</v>
      </c>
      <c r="H22" s="31">
        <f>'[1]2-СД'!G20</f>
        <v>15</v>
      </c>
      <c r="I22" s="31">
        <f>'[1]2-СД'!H20</f>
        <v>3</v>
      </c>
      <c r="J22" s="31">
        <f>'[1]2-СД'!I20</f>
        <v>3</v>
      </c>
      <c r="K22" s="31">
        <f>'[1]2-СД'!J20</f>
        <v>0</v>
      </c>
      <c r="L22" s="31">
        <f>'[1]2-СД'!K20</f>
        <v>3</v>
      </c>
      <c r="M22" s="31">
        <f>'[1]2-СД'!L20</f>
        <v>3</v>
      </c>
      <c r="N22" s="31">
        <f>'[1]2-СД'!M20</f>
        <v>0</v>
      </c>
      <c r="O22" s="31">
        <f>'[1]2-СД'!N20</f>
        <v>0</v>
      </c>
      <c r="P22" s="31">
        <f>'[1]2-СД'!O20</f>
        <v>0</v>
      </c>
      <c r="Q22" s="31">
        <f>'[1]2-СД'!P20</f>
        <v>0</v>
      </c>
      <c r="R22" s="31">
        <f>'[1]2-СД'!Q20</f>
        <v>0</v>
      </c>
      <c r="S22" s="31">
        <f>'[1]2-СД'!R20</f>
        <v>0</v>
      </c>
      <c r="T22" s="31">
        <f>'[1]2-СД'!S20</f>
        <v>0</v>
      </c>
      <c r="U22" s="31">
        <f>'[1]2-СД'!T20</f>
        <v>0</v>
      </c>
      <c r="V22" s="31">
        <f>'[1]2-СД'!U20</f>
        <v>0</v>
      </c>
      <c r="W22" s="31">
        <f>'[1]2-СД'!V20</f>
        <v>0</v>
      </c>
      <c r="X22" s="31">
        <f>'[1]2-СД'!W20</f>
        <v>0</v>
      </c>
      <c r="Y22" s="31">
        <f>'[1]2-СД'!X20</f>
        <v>0</v>
      </c>
      <c r="Z22" s="31">
        <f>'[1]2-СД'!Y20</f>
        <v>3</v>
      </c>
      <c r="AA22" s="31">
        <f>'[1]2-СД'!Z20</f>
        <v>3</v>
      </c>
      <c r="AB22" s="31">
        <f>'[1]2-СД'!AA20</f>
        <v>3</v>
      </c>
      <c r="AC22" s="31">
        <f>'[1]2-СД'!AB20</f>
        <v>3</v>
      </c>
      <c r="AD22" s="31">
        <f>'[1]2-СД'!AC20</f>
        <v>3</v>
      </c>
      <c r="AE22" s="31">
        <f>'[1]2-СД'!AD20</f>
        <v>3</v>
      </c>
      <c r="AF22" s="31">
        <f>'[1]2-СД'!AE20</f>
        <v>3</v>
      </c>
      <c r="AG22" s="31">
        <f>'[1]2-СД'!AF20</f>
        <v>0</v>
      </c>
      <c r="AH22" s="31">
        <f>'[1]2-СД'!AG20</f>
        <v>0</v>
      </c>
      <c r="AI22" s="31">
        <f>'[1]2-СД'!AH20</f>
        <v>0</v>
      </c>
      <c r="AJ22" s="31">
        <f>'[1]2-СД'!AI20</f>
        <v>0</v>
      </c>
      <c r="AK22" s="31">
        <f>'[1]2-СД'!AJ20</f>
        <v>0</v>
      </c>
      <c r="AL22" s="31">
        <f>'[1]2-СД'!AK20</f>
        <v>0</v>
      </c>
      <c r="AM22" s="31">
        <f>'[1]2-СД'!AL20</f>
        <v>0</v>
      </c>
      <c r="AN22" s="31">
        <f>'[1]2-СД'!AM20</f>
        <v>0</v>
      </c>
      <c r="AO22" s="31">
        <f>'[1]2-СД'!AN20</f>
        <v>0</v>
      </c>
      <c r="AP22" s="31">
        <f>'[1]2-СД'!AO20</f>
        <v>0</v>
      </c>
      <c r="AQ22" s="31">
        <f>'[1]2-СД'!AP20</f>
        <v>0</v>
      </c>
      <c r="AR22" s="31">
        <f>'[1]2-СД'!AQ20</f>
        <v>10</v>
      </c>
      <c r="AS22" s="31">
        <f>'[1]2-СД'!AR20</f>
        <v>0</v>
      </c>
      <c r="AT22" s="31">
        <f>'[1]2-СД'!AS20</f>
        <v>0</v>
      </c>
    </row>
    <row r="23" spans="1:46" x14ac:dyDescent="0.25">
      <c r="A23" s="20">
        <v>6</v>
      </c>
      <c r="B23" s="21" t="s">
        <v>15</v>
      </c>
      <c r="C23" s="32">
        <f>COUNTA('[1]3-П'!B17:B68)</f>
        <v>52</v>
      </c>
      <c r="D23" s="23">
        <f>'[1]3-П'!C69</f>
        <v>100</v>
      </c>
      <c r="E23" s="23">
        <f>'[1]3-П'!D69</f>
        <v>50</v>
      </c>
      <c r="F23" s="23">
        <f>'[1]3-П'!E69</f>
        <v>50</v>
      </c>
      <c r="G23" s="23">
        <f>'[1]3-П'!F69</f>
        <v>0</v>
      </c>
      <c r="H23" s="23">
        <f>'[1]3-П'!G69</f>
        <v>250</v>
      </c>
      <c r="I23" s="23">
        <f>'[1]3-П'!H69</f>
        <v>50</v>
      </c>
      <c r="J23" s="23">
        <f>'[1]3-П'!I69</f>
        <v>50</v>
      </c>
      <c r="K23" s="23">
        <f>'[1]3-П'!J69</f>
        <v>0</v>
      </c>
      <c r="L23" s="23">
        <f>'[1]3-П'!K69</f>
        <v>50</v>
      </c>
      <c r="M23" s="23">
        <f>'[1]3-П'!L69</f>
        <v>50</v>
      </c>
      <c r="N23" s="23">
        <f>'[1]3-П'!M69</f>
        <v>50</v>
      </c>
      <c r="O23" s="23">
        <f>'[1]3-П'!N69</f>
        <v>0</v>
      </c>
      <c r="P23" s="23">
        <f>'[1]3-П'!O69</f>
        <v>50</v>
      </c>
      <c r="Q23" s="23">
        <f>'[1]3-П'!P69</f>
        <v>50</v>
      </c>
      <c r="R23" s="23">
        <f>'[1]3-П'!Q69</f>
        <v>0</v>
      </c>
      <c r="S23" s="23">
        <f>'[1]3-П'!R69</f>
        <v>0</v>
      </c>
      <c r="T23" s="23">
        <f>'[1]3-П'!S69</f>
        <v>50</v>
      </c>
      <c r="U23" s="23">
        <f>'[1]3-П'!T69</f>
        <v>0</v>
      </c>
      <c r="V23" s="23">
        <f>'[1]3-П'!U69</f>
        <v>50</v>
      </c>
      <c r="W23" s="23">
        <f>'[1]3-П'!V69</f>
        <v>50</v>
      </c>
      <c r="X23" s="23">
        <f>'[1]3-П'!W69</f>
        <v>0</v>
      </c>
      <c r="Y23" s="23">
        <f>'[1]3-П'!X69</f>
        <v>0</v>
      </c>
      <c r="Z23" s="23">
        <f>'[1]3-П'!Y69</f>
        <v>0</v>
      </c>
      <c r="AA23" s="23">
        <f>'[1]3-П'!Z69</f>
        <v>0</v>
      </c>
      <c r="AB23" s="23">
        <f>'[1]3-П'!AA69</f>
        <v>0</v>
      </c>
      <c r="AC23" s="23">
        <f>'[1]3-П'!AB69</f>
        <v>0</v>
      </c>
      <c r="AD23" s="23">
        <f>'[1]3-П'!AC69</f>
        <v>50</v>
      </c>
      <c r="AE23" s="23">
        <f>'[1]3-П'!AD69</f>
        <v>0</v>
      </c>
      <c r="AF23" s="23">
        <f>'[1]3-П'!AE69</f>
        <v>0</v>
      </c>
      <c r="AG23" s="23">
        <f>'[1]3-П'!AF69</f>
        <v>0</v>
      </c>
      <c r="AH23" s="23">
        <f>'[1]3-П'!AG69</f>
        <v>0</v>
      </c>
      <c r="AI23" s="23">
        <f>'[1]3-П'!AH69</f>
        <v>0</v>
      </c>
      <c r="AJ23" s="23">
        <f>'[1]3-П'!AI69</f>
        <v>0</v>
      </c>
      <c r="AK23" s="23">
        <f>'[1]3-П'!AJ69</f>
        <v>0</v>
      </c>
      <c r="AL23" s="23">
        <f>'[1]3-П'!AK69</f>
        <v>0</v>
      </c>
      <c r="AM23" s="23">
        <f>'[1]3-П'!AL69</f>
        <v>0</v>
      </c>
      <c r="AN23" s="23">
        <f>'[1]3-П'!AM69</f>
        <v>0</v>
      </c>
      <c r="AO23" s="23">
        <f>'[1]3-П'!AN69</f>
        <v>50</v>
      </c>
      <c r="AP23" s="23">
        <f>'[1]3-П'!AO69</f>
        <v>0</v>
      </c>
      <c r="AQ23" s="23">
        <f>'[1]3-П'!AP69</f>
        <v>0</v>
      </c>
      <c r="AR23" s="23">
        <f>'[1]3-П'!AQ69</f>
        <v>1120</v>
      </c>
      <c r="AS23" s="23">
        <f>'[1]3-П'!AR69</f>
        <v>0</v>
      </c>
      <c r="AT23" s="23">
        <f>'[1]3-П'!AS69</f>
        <v>45</v>
      </c>
    </row>
    <row r="24" spans="1:46" x14ac:dyDescent="0.25">
      <c r="A24" s="28">
        <v>7</v>
      </c>
      <c r="B24" s="29" t="s">
        <v>16</v>
      </c>
      <c r="C24" s="33">
        <f>COUNTA('[1]3-С'!B17:B68)</f>
        <v>52</v>
      </c>
      <c r="D24" s="30">
        <f>'[1]3-С'!C69</f>
        <v>92</v>
      </c>
      <c r="E24" s="30">
        <f>'[1]3-С'!D69</f>
        <v>46</v>
      </c>
      <c r="F24" s="30">
        <f>'[1]3-С'!E69</f>
        <v>46</v>
      </c>
      <c r="G24" s="30">
        <f>'[1]3-С'!F69</f>
        <v>0</v>
      </c>
      <c r="H24" s="30">
        <f>'[1]3-С'!G69</f>
        <v>230</v>
      </c>
      <c r="I24" s="30">
        <f>'[1]3-С'!H69</f>
        <v>46</v>
      </c>
      <c r="J24" s="30">
        <f>'[1]3-С'!I69</f>
        <v>46</v>
      </c>
      <c r="K24" s="30">
        <f>'[1]3-С'!J69</f>
        <v>0</v>
      </c>
      <c r="L24" s="30">
        <f>'[1]3-С'!K69</f>
        <v>46</v>
      </c>
      <c r="M24" s="30">
        <f>'[1]3-С'!L69</f>
        <v>46</v>
      </c>
      <c r="N24" s="30">
        <f>'[1]3-С'!M69</f>
        <v>46</v>
      </c>
      <c r="O24" s="30">
        <f>'[1]3-С'!N69</f>
        <v>0</v>
      </c>
      <c r="P24" s="30">
        <f>'[1]3-С'!O69</f>
        <v>0</v>
      </c>
      <c r="Q24" s="30">
        <f>'[1]3-С'!P69</f>
        <v>46</v>
      </c>
      <c r="R24" s="30">
        <f>'[1]3-С'!Q69</f>
        <v>0</v>
      </c>
      <c r="S24" s="30">
        <f>'[1]3-С'!R69</f>
        <v>0</v>
      </c>
      <c r="T24" s="30">
        <f>'[1]3-С'!S69</f>
        <v>46</v>
      </c>
      <c r="U24" s="30">
        <f>'[1]3-С'!T69</f>
        <v>0</v>
      </c>
      <c r="V24" s="30">
        <f>'[1]3-С'!U69</f>
        <v>0</v>
      </c>
      <c r="W24" s="30">
        <f>'[1]3-С'!V69</f>
        <v>0</v>
      </c>
      <c r="X24" s="30">
        <f>'[1]3-С'!W69</f>
        <v>0</v>
      </c>
      <c r="Y24" s="30">
        <f>'[1]3-С'!X69</f>
        <v>0</v>
      </c>
      <c r="Z24" s="30">
        <f>'[1]3-С'!Y69</f>
        <v>0</v>
      </c>
      <c r="AA24" s="30">
        <f>'[1]3-С'!Z69</f>
        <v>0</v>
      </c>
      <c r="AB24" s="30">
        <f>'[1]3-С'!AA69</f>
        <v>0</v>
      </c>
      <c r="AC24" s="30">
        <f>'[1]3-С'!AB69</f>
        <v>0</v>
      </c>
      <c r="AD24" s="30">
        <f>'[1]3-С'!AC69</f>
        <v>46</v>
      </c>
      <c r="AE24" s="30">
        <f>'[1]3-С'!AD69</f>
        <v>0</v>
      </c>
      <c r="AF24" s="30">
        <f>'[1]3-С'!AE69</f>
        <v>0</v>
      </c>
      <c r="AG24" s="30">
        <f>'[1]3-С'!AF69</f>
        <v>0</v>
      </c>
      <c r="AH24" s="30">
        <f>'[1]3-С'!AG69</f>
        <v>0</v>
      </c>
      <c r="AI24" s="30">
        <f>'[1]3-С'!AH69</f>
        <v>0</v>
      </c>
      <c r="AJ24" s="30">
        <f>'[1]3-С'!AI69</f>
        <v>0</v>
      </c>
      <c r="AK24" s="30">
        <f>'[1]3-С'!AJ69</f>
        <v>0</v>
      </c>
      <c r="AL24" s="30">
        <f>'[1]3-С'!AK69</f>
        <v>0</v>
      </c>
      <c r="AM24" s="30">
        <f>'[1]3-С'!AL69</f>
        <v>0</v>
      </c>
      <c r="AN24" s="30">
        <f>'[1]3-С'!AM69</f>
        <v>0</v>
      </c>
      <c r="AO24" s="30">
        <f>'[1]3-С'!AN69</f>
        <v>0</v>
      </c>
      <c r="AP24" s="30">
        <f>'[1]3-С'!AO69</f>
        <v>0</v>
      </c>
      <c r="AQ24" s="30">
        <f>'[1]3-С'!AP69</f>
        <v>0</v>
      </c>
      <c r="AR24" s="30">
        <f>'[1]3-С'!AQ69</f>
        <v>570</v>
      </c>
      <c r="AS24" s="30">
        <f>'[1]3-С'!AR69</f>
        <v>0</v>
      </c>
      <c r="AT24" s="30">
        <f>'[1]3-С'!AS69</f>
        <v>51</v>
      </c>
    </row>
    <row r="25" spans="1:46" ht="21.75" thickBot="1" x14ac:dyDescent="0.3">
      <c r="A25" s="24">
        <v>8</v>
      </c>
      <c r="B25" s="25" t="s">
        <v>17</v>
      </c>
      <c r="C25" s="33">
        <f>COUNTA('[1]3-СД'!B17:B18)</f>
        <v>2</v>
      </c>
      <c r="D25" s="31">
        <f>'[1]3-СД'!C19</f>
        <v>4</v>
      </c>
      <c r="E25" s="31">
        <f>'[1]3-СД'!D19</f>
        <v>2</v>
      </c>
      <c r="F25" s="31">
        <f>'[1]3-СД'!E19</f>
        <v>0</v>
      </c>
      <c r="G25" s="31">
        <f>'[1]3-СД'!F19</f>
        <v>0</v>
      </c>
      <c r="H25" s="31">
        <f>'[1]3-СД'!G19</f>
        <v>0</v>
      </c>
      <c r="I25" s="31">
        <f>'[1]3-СД'!H19</f>
        <v>2</v>
      </c>
      <c r="J25" s="31">
        <f>'[1]3-СД'!I19</f>
        <v>2</v>
      </c>
      <c r="K25" s="31">
        <f>'[1]3-СД'!J19</f>
        <v>0</v>
      </c>
      <c r="L25" s="31">
        <f>'[1]3-СД'!K19</f>
        <v>2</v>
      </c>
      <c r="M25" s="31">
        <f>'[1]3-СД'!L19</f>
        <v>2</v>
      </c>
      <c r="N25" s="31">
        <f>'[1]3-СД'!M19</f>
        <v>0</v>
      </c>
      <c r="O25" s="31">
        <f>'[1]3-СД'!N19</f>
        <v>0</v>
      </c>
      <c r="P25" s="31">
        <f>'[1]3-СД'!O19</f>
        <v>0</v>
      </c>
      <c r="Q25" s="31">
        <f>'[1]3-СД'!P19</f>
        <v>0</v>
      </c>
      <c r="R25" s="31">
        <f>'[1]3-СД'!Q19</f>
        <v>0</v>
      </c>
      <c r="S25" s="31">
        <f>'[1]3-СД'!R19</f>
        <v>0</v>
      </c>
      <c r="T25" s="31">
        <f>'[1]3-СД'!S19</f>
        <v>0</v>
      </c>
      <c r="U25" s="31">
        <f>'[1]3-СД'!T19</f>
        <v>0</v>
      </c>
      <c r="V25" s="31">
        <f>'[1]3-СД'!U19</f>
        <v>0</v>
      </c>
      <c r="W25" s="31">
        <f>'[1]3-СД'!V19</f>
        <v>0</v>
      </c>
      <c r="X25" s="31">
        <f>'[1]3-СД'!W19</f>
        <v>0</v>
      </c>
      <c r="Y25" s="31">
        <f>'[1]3-СД'!X19</f>
        <v>0</v>
      </c>
      <c r="Z25" s="31">
        <f>'[1]3-СД'!Y19</f>
        <v>0</v>
      </c>
      <c r="AA25" s="31">
        <f>'[1]3-СД'!Z19</f>
        <v>2</v>
      </c>
      <c r="AB25" s="31">
        <f>'[1]3-СД'!AA19</f>
        <v>2</v>
      </c>
      <c r="AC25" s="31">
        <f>'[1]3-СД'!AB19</f>
        <v>2</v>
      </c>
      <c r="AD25" s="31">
        <f>'[1]3-СД'!AC19</f>
        <v>2</v>
      </c>
      <c r="AE25" s="31">
        <f>'[1]3-СД'!AD19</f>
        <v>2</v>
      </c>
      <c r="AF25" s="31">
        <f>'[1]3-СД'!AE19</f>
        <v>2</v>
      </c>
      <c r="AG25" s="31">
        <f>'[1]3-СД'!AF19</f>
        <v>0</v>
      </c>
      <c r="AH25" s="31">
        <f>'[1]3-СД'!AG19</f>
        <v>0</v>
      </c>
      <c r="AI25" s="31">
        <f>'[1]3-СД'!AH19</f>
        <v>0</v>
      </c>
      <c r="AJ25" s="31">
        <f>'[1]3-СД'!AI19</f>
        <v>0</v>
      </c>
      <c r="AK25" s="31">
        <f>'[1]3-СД'!AJ19</f>
        <v>0</v>
      </c>
      <c r="AL25" s="31">
        <f>'[1]3-СД'!AK19</f>
        <v>0</v>
      </c>
      <c r="AM25" s="31">
        <f>'[1]3-СД'!AL19</f>
        <v>0</v>
      </c>
      <c r="AN25" s="31">
        <f>'[1]3-СД'!AM19</f>
        <v>0</v>
      </c>
      <c r="AO25" s="31">
        <f>'[1]3-СД'!AN19</f>
        <v>0</v>
      </c>
      <c r="AP25" s="31">
        <f>'[1]3-СД'!AO19</f>
        <v>0</v>
      </c>
      <c r="AQ25" s="31">
        <f>'[1]3-СД'!AP19</f>
        <v>0</v>
      </c>
      <c r="AR25" s="31">
        <f>'[1]3-СД'!AQ19</f>
        <v>0</v>
      </c>
      <c r="AS25" s="31">
        <f>'[1]3-СД'!AR19</f>
        <v>0</v>
      </c>
      <c r="AT25" s="31">
        <f>'[1]3-СД'!AS19</f>
        <v>0</v>
      </c>
    </row>
    <row r="26" spans="1:46" x14ac:dyDescent="0.25">
      <c r="A26" s="20">
        <v>9</v>
      </c>
      <c r="B26" s="21" t="s">
        <v>18</v>
      </c>
      <c r="C26" s="27">
        <f>COUNTA('[1]СРО-П'!B17:B50)</f>
        <v>34</v>
      </c>
      <c r="D26" s="23">
        <f>'[1]СРО-П'!C51</f>
        <v>68</v>
      </c>
      <c r="E26" s="23">
        <f>'[1]СРО-П'!D51</f>
        <v>34</v>
      </c>
      <c r="F26" s="23">
        <f>'[1]СРО-П'!E51</f>
        <v>34</v>
      </c>
      <c r="G26" s="23">
        <f>'[1]СРО-П'!F51</f>
        <v>0</v>
      </c>
      <c r="H26" s="23">
        <f>'[1]СРО-П'!G51</f>
        <v>170</v>
      </c>
      <c r="I26" s="23">
        <f>'[1]СРО-П'!H51</f>
        <v>34</v>
      </c>
      <c r="J26" s="23">
        <f>'[1]СРО-П'!I51</f>
        <v>34</v>
      </c>
      <c r="K26" s="23">
        <f>'[1]СРО-П'!J51</f>
        <v>0</v>
      </c>
      <c r="L26" s="23">
        <f>'[1]СРО-П'!K51</f>
        <v>34</v>
      </c>
      <c r="M26" s="23">
        <f>'[1]СРО-П'!L51</f>
        <v>34</v>
      </c>
      <c r="N26" s="23">
        <f>'[1]СРО-П'!M51</f>
        <v>34</v>
      </c>
      <c r="O26" s="23">
        <f>'[1]СРО-П'!N51</f>
        <v>0</v>
      </c>
      <c r="P26" s="23">
        <f>'[1]СРО-П'!O51</f>
        <v>34</v>
      </c>
      <c r="Q26" s="23">
        <f>'[1]СРО-П'!P51</f>
        <v>34</v>
      </c>
      <c r="R26" s="23">
        <f>'[1]СРО-П'!Q51</f>
        <v>0</v>
      </c>
      <c r="S26" s="23">
        <f>'[1]СРО-П'!R51</f>
        <v>0</v>
      </c>
      <c r="T26" s="23">
        <f>'[1]СРО-П'!S51</f>
        <v>34</v>
      </c>
      <c r="U26" s="23">
        <f>'[1]СРО-П'!T51</f>
        <v>0</v>
      </c>
      <c r="V26" s="23">
        <f>'[1]СРО-П'!U51</f>
        <v>34</v>
      </c>
      <c r="W26" s="23">
        <f>'[1]СРО-П'!V51</f>
        <v>34</v>
      </c>
      <c r="X26" s="23">
        <f>'[1]СРО-П'!W51</f>
        <v>0</v>
      </c>
      <c r="Y26" s="23">
        <f>'[1]СРО-П'!X51</f>
        <v>0</v>
      </c>
      <c r="Z26" s="23">
        <f>'[1]СРО-П'!Y51</f>
        <v>34</v>
      </c>
      <c r="AA26" s="23">
        <f>'[1]СРО-П'!Z51</f>
        <v>0</v>
      </c>
      <c r="AB26" s="23">
        <f>'[1]СРО-П'!AA51</f>
        <v>0</v>
      </c>
      <c r="AC26" s="23">
        <f>'[1]СРО-П'!AB51</f>
        <v>0</v>
      </c>
      <c r="AD26" s="23">
        <f>'[1]СРО-П'!AC51</f>
        <v>34</v>
      </c>
      <c r="AE26" s="23">
        <f>'[1]СРО-П'!AD51</f>
        <v>0</v>
      </c>
      <c r="AF26" s="23">
        <f>'[1]СРО-П'!AE51</f>
        <v>0</v>
      </c>
      <c r="AG26" s="23">
        <f>'[1]СРО-П'!AF51</f>
        <v>0</v>
      </c>
      <c r="AH26" s="23">
        <f>'[1]СРО-П'!AG51</f>
        <v>0</v>
      </c>
      <c r="AI26" s="23">
        <f>'[1]СРО-П'!AH51</f>
        <v>0</v>
      </c>
      <c r="AJ26" s="23">
        <f>'[1]СРО-П'!AI51</f>
        <v>0</v>
      </c>
      <c r="AK26" s="23">
        <f>'[1]СРО-П'!AJ51</f>
        <v>0</v>
      </c>
      <c r="AL26" s="23">
        <f>'[1]СРО-П'!AK51</f>
        <v>0</v>
      </c>
      <c r="AM26" s="23">
        <f>'[1]СРО-П'!AL51</f>
        <v>0</v>
      </c>
      <c r="AN26" s="23">
        <f>'[1]СРО-П'!AM51</f>
        <v>0</v>
      </c>
      <c r="AO26" s="23">
        <f>'[1]СРО-П'!AN51</f>
        <v>34</v>
      </c>
      <c r="AP26" s="23">
        <f>'[1]СРО-П'!AO51</f>
        <v>0</v>
      </c>
      <c r="AQ26" s="23">
        <f>'[1]СРО-П'!AP51</f>
        <v>0</v>
      </c>
      <c r="AR26" s="23">
        <f>'[1]СРО-П'!AQ51</f>
        <v>440</v>
      </c>
      <c r="AS26" s="23">
        <f>'[1]СРО-П'!AR51</f>
        <v>0</v>
      </c>
      <c r="AT26" s="23">
        <f>'[1]СРО-П'!AS51</f>
        <v>0</v>
      </c>
    </row>
    <row r="27" spans="1:46" x14ac:dyDescent="0.25">
      <c r="A27" s="28">
        <v>10</v>
      </c>
      <c r="B27" s="29" t="s">
        <v>19</v>
      </c>
      <c r="C27" s="34">
        <f>COUNTA('[1]СРО-С'!B17:B45)</f>
        <v>29</v>
      </c>
      <c r="D27" s="30">
        <f>'[1]СРО-С'!C46</f>
        <v>58</v>
      </c>
      <c r="E27" s="30">
        <f>'[1]СРО-С'!D46</f>
        <v>29</v>
      </c>
      <c r="F27" s="30">
        <f>'[1]СРО-С'!E46</f>
        <v>29</v>
      </c>
      <c r="G27" s="30">
        <f>'[1]СРО-С'!F46</f>
        <v>0</v>
      </c>
      <c r="H27" s="30">
        <f>'[1]СРО-С'!G46</f>
        <v>145</v>
      </c>
      <c r="I27" s="30">
        <f>'[1]СРО-С'!H46</f>
        <v>29</v>
      </c>
      <c r="J27" s="30">
        <f>'[1]СРО-С'!I46</f>
        <v>29</v>
      </c>
      <c r="K27" s="30">
        <f>'[1]СРО-С'!J46</f>
        <v>0</v>
      </c>
      <c r="L27" s="30">
        <f>'[1]СРО-С'!K46</f>
        <v>29</v>
      </c>
      <c r="M27" s="30">
        <f>'[1]СРО-С'!L46</f>
        <v>29</v>
      </c>
      <c r="N27" s="30">
        <f>'[1]СРО-С'!M46</f>
        <v>29</v>
      </c>
      <c r="O27" s="30">
        <f>'[1]СРО-С'!N46</f>
        <v>0</v>
      </c>
      <c r="P27" s="30">
        <f>'[1]СРО-С'!O46</f>
        <v>0</v>
      </c>
      <c r="Q27" s="30">
        <f>'[1]СРО-С'!P46</f>
        <v>29</v>
      </c>
      <c r="R27" s="30">
        <f>'[1]СРО-С'!Q46</f>
        <v>0</v>
      </c>
      <c r="S27" s="30">
        <f>'[1]СРО-С'!R46</f>
        <v>0</v>
      </c>
      <c r="T27" s="30">
        <f>'[1]СРО-С'!S46</f>
        <v>29</v>
      </c>
      <c r="U27" s="30">
        <f>'[1]СРО-С'!T46</f>
        <v>0</v>
      </c>
      <c r="V27" s="30">
        <f>'[1]СРО-С'!U46</f>
        <v>0</v>
      </c>
      <c r="W27" s="30">
        <f>'[1]СРО-С'!V46</f>
        <v>0</v>
      </c>
      <c r="X27" s="30">
        <f>'[1]СРО-С'!W46</f>
        <v>0</v>
      </c>
      <c r="Y27" s="30">
        <f>'[1]СРО-С'!X46</f>
        <v>0</v>
      </c>
      <c r="Z27" s="30">
        <f>'[1]СРО-С'!Y46</f>
        <v>29</v>
      </c>
      <c r="AA27" s="30">
        <f>'[1]СРО-С'!Z46</f>
        <v>0</v>
      </c>
      <c r="AB27" s="30">
        <f>'[1]СРО-С'!AA46</f>
        <v>0</v>
      </c>
      <c r="AC27" s="30">
        <f>'[1]СРО-С'!AB46</f>
        <v>0</v>
      </c>
      <c r="AD27" s="30">
        <f>'[1]СРО-С'!AC46</f>
        <v>29</v>
      </c>
      <c r="AE27" s="30">
        <f>'[1]СРО-С'!AD46</f>
        <v>0</v>
      </c>
      <c r="AF27" s="30">
        <f>'[1]СРО-С'!AE46</f>
        <v>0</v>
      </c>
      <c r="AG27" s="30">
        <f>'[1]СРО-С'!AF46</f>
        <v>0</v>
      </c>
      <c r="AH27" s="30">
        <f>'[1]СРО-С'!AG46</f>
        <v>0</v>
      </c>
      <c r="AI27" s="30">
        <f>'[1]СРО-С'!AH46</f>
        <v>0</v>
      </c>
      <c r="AJ27" s="30">
        <f>'[1]СРО-С'!AI46</f>
        <v>0</v>
      </c>
      <c r="AK27" s="30">
        <f>'[1]СРО-С'!AJ46</f>
        <v>0</v>
      </c>
      <c r="AL27" s="30">
        <f>'[1]СРО-С'!AK46</f>
        <v>0</v>
      </c>
      <c r="AM27" s="30">
        <f>'[1]СРО-С'!AL46</f>
        <v>0</v>
      </c>
      <c r="AN27" s="30">
        <f>'[1]СРО-С'!AM46</f>
        <v>0</v>
      </c>
      <c r="AO27" s="30">
        <f>'[1]СРО-С'!AN46</f>
        <v>29</v>
      </c>
      <c r="AP27" s="30">
        <f>'[1]СРО-С'!AO46</f>
        <v>0</v>
      </c>
      <c r="AQ27" s="30">
        <f>'[1]СРО-С'!AP46</f>
        <v>0</v>
      </c>
      <c r="AR27" s="30">
        <f>'[1]СРО-С'!AQ46</f>
        <v>260</v>
      </c>
      <c r="AS27" s="30">
        <f>'[1]СРО-С'!AR46</f>
        <v>0</v>
      </c>
      <c r="AT27" s="30">
        <f>'[1]СРО-С'!AS46</f>
        <v>0</v>
      </c>
    </row>
    <row r="28" spans="1:46" ht="21.75" thickBot="1" x14ac:dyDescent="0.3">
      <c r="A28" s="24">
        <v>11</v>
      </c>
      <c r="B28" s="25" t="s">
        <v>20</v>
      </c>
      <c r="C28" s="34">
        <f>COUNTA('[1]СРО-СД'!B17:B19)</f>
        <v>3</v>
      </c>
      <c r="D28" s="31">
        <f>'[1]СРО-СД'!C20</f>
        <v>6</v>
      </c>
      <c r="E28" s="31">
        <f>'[1]СРО-СД'!D20</f>
        <v>3</v>
      </c>
      <c r="F28" s="31">
        <f>'[1]СРО-СД'!E20</f>
        <v>3</v>
      </c>
      <c r="G28" s="31">
        <f>'[1]СРО-СД'!F20</f>
        <v>0</v>
      </c>
      <c r="H28" s="31">
        <f>'[1]СРО-СД'!G20</f>
        <v>15</v>
      </c>
      <c r="I28" s="31">
        <f>'[1]СРО-СД'!H20</f>
        <v>3</v>
      </c>
      <c r="J28" s="31">
        <f>'[1]СРО-СД'!I20</f>
        <v>3</v>
      </c>
      <c r="K28" s="31">
        <f>'[1]СРО-СД'!J20</f>
        <v>0</v>
      </c>
      <c r="L28" s="31">
        <f>'[1]СРО-СД'!K20</f>
        <v>3</v>
      </c>
      <c r="M28" s="31">
        <f>'[1]СРО-СД'!L20</f>
        <v>3</v>
      </c>
      <c r="N28" s="31">
        <f>'[1]СРО-СД'!M20</f>
        <v>0</v>
      </c>
      <c r="O28" s="31">
        <f>'[1]СРО-СД'!N20</f>
        <v>0</v>
      </c>
      <c r="P28" s="31">
        <f>'[1]СРО-СД'!O20</f>
        <v>0</v>
      </c>
      <c r="Q28" s="31">
        <f>'[1]СРО-СД'!P20</f>
        <v>0</v>
      </c>
      <c r="R28" s="31">
        <f>'[1]СРО-СД'!Q20</f>
        <v>0</v>
      </c>
      <c r="S28" s="31">
        <f>'[1]СРО-СД'!R20</f>
        <v>0</v>
      </c>
      <c r="T28" s="31">
        <f>'[1]СРО-СД'!S20</f>
        <v>0</v>
      </c>
      <c r="U28" s="31">
        <f>'[1]СРО-СД'!T20</f>
        <v>0</v>
      </c>
      <c r="V28" s="31">
        <f>'[1]СРО-СД'!U20</f>
        <v>0</v>
      </c>
      <c r="W28" s="31">
        <f>'[1]СРО-СД'!V20</f>
        <v>0</v>
      </c>
      <c r="X28" s="31">
        <f>'[1]СРО-СД'!W20</f>
        <v>0</v>
      </c>
      <c r="Y28" s="31">
        <f>'[1]СРО-СД'!X20</f>
        <v>0</v>
      </c>
      <c r="Z28" s="31">
        <f>'[1]СРО-СД'!Y20</f>
        <v>3</v>
      </c>
      <c r="AA28" s="31">
        <f>'[1]СРО-СД'!Z20</f>
        <v>3</v>
      </c>
      <c r="AB28" s="31">
        <f>'[1]СРО-СД'!AA20</f>
        <v>3</v>
      </c>
      <c r="AC28" s="31">
        <f>'[1]СРО-СД'!AB20</f>
        <v>3</v>
      </c>
      <c r="AD28" s="31">
        <f>'[1]СРО-СД'!AC20</f>
        <v>3</v>
      </c>
      <c r="AE28" s="31">
        <f>'[1]СРО-СД'!AD20</f>
        <v>3</v>
      </c>
      <c r="AF28" s="31">
        <f>'[1]СРО-СД'!AE20</f>
        <v>3</v>
      </c>
      <c r="AG28" s="31">
        <f>'[1]СРО-СД'!AF20</f>
        <v>0</v>
      </c>
      <c r="AH28" s="31">
        <f>'[1]СРО-СД'!AG20</f>
        <v>0</v>
      </c>
      <c r="AI28" s="31">
        <f>'[1]СРО-СД'!AH20</f>
        <v>0</v>
      </c>
      <c r="AJ28" s="31">
        <f>'[1]СРО-СД'!AI20</f>
        <v>0</v>
      </c>
      <c r="AK28" s="31">
        <f>'[1]СРО-СД'!AJ20</f>
        <v>0</v>
      </c>
      <c r="AL28" s="31">
        <f>'[1]СРО-СД'!AK20</f>
        <v>0</v>
      </c>
      <c r="AM28" s="31">
        <f>'[1]СРО-СД'!AL20</f>
        <v>0</v>
      </c>
      <c r="AN28" s="31">
        <f>'[1]СРО-СД'!AM20</f>
        <v>0</v>
      </c>
      <c r="AO28" s="31">
        <f>'[1]СРО-СД'!AN20</f>
        <v>0</v>
      </c>
      <c r="AP28" s="31">
        <f>'[1]СРО-СД'!AO20</f>
        <v>0</v>
      </c>
      <c r="AQ28" s="31">
        <f>'[1]СРО-СД'!AP20</f>
        <v>0</v>
      </c>
      <c r="AR28" s="31">
        <f>'[1]СРО-СД'!AQ20</f>
        <v>0</v>
      </c>
      <c r="AS28" s="31">
        <f>'[1]СРО-СД'!AR20</f>
        <v>0</v>
      </c>
      <c r="AT28" s="31">
        <f>'[1]СРО-СД'!AS20</f>
        <v>0</v>
      </c>
    </row>
    <row r="29" spans="1:46" ht="31.5" x14ac:dyDescent="0.25">
      <c r="A29" s="20">
        <v>12</v>
      </c>
      <c r="B29" s="35" t="s">
        <v>21</v>
      </c>
      <c r="C29" s="32">
        <f>COUNTA('[1]ОМ-ЩП'!B17:B64)</f>
        <v>48</v>
      </c>
      <c r="D29" s="23">
        <f>'[1]ОМ-ЩП'!C65</f>
        <v>96</v>
      </c>
      <c r="E29" s="23">
        <f>'[1]ОМ-ЩП'!D65</f>
        <v>48</v>
      </c>
      <c r="F29" s="23">
        <f>'[1]ОМ-ЩП'!E65</f>
        <v>48</v>
      </c>
      <c r="G29" s="23">
        <f>'[1]ОМ-ЩП'!F65</f>
        <v>0</v>
      </c>
      <c r="H29" s="23">
        <f>'[1]ОМ-ЩП'!G65</f>
        <v>240</v>
      </c>
      <c r="I29" s="23">
        <f>'[1]ОМ-ЩП'!H65</f>
        <v>0</v>
      </c>
      <c r="J29" s="23">
        <f>'[1]ОМ-ЩП'!I65</f>
        <v>0</v>
      </c>
      <c r="K29" s="23">
        <f>'[1]ОМ-ЩП'!J65</f>
        <v>0</v>
      </c>
      <c r="L29" s="23">
        <f>'[1]ОМ-ЩП'!K65</f>
        <v>0</v>
      </c>
      <c r="M29" s="23">
        <f>'[1]ОМ-ЩП'!L65</f>
        <v>0</v>
      </c>
      <c r="N29" s="23">
        <f>'[1]ОМ-ЩП'!M65</f>
        <v>0</v>
      </c>
      <c r="O29" s="23">
        <f>'[1]ОМ-ЩП'!N65</f>
        <v>0</v>
      </c>
      <c r="P29" s="23">
        <f>'[1]ОМ-ЩП'!O65</f>
        <v>48</v>
      </c>
      <c r="Q29" s="23">
        <f>'[1]ОМ-ЩП'!P65</f>
        <v>0</v>
      </c>
      <c r="R29" s="23">
        <f>'[1]ОМ-ЩП'!Q65</f>
        <v>0</v>
      </c>
      <c r="S29" s="23">
        <f>'[1]ОМ-ЩП'!R65</f>
        <v>0</v>
      </c>
      <c r="T29" s="23">
        <f>'[1]ОМ-ЩП'!S65</f>
        <v>48</v>
      </c>
      <c r="U29" s="23">
        <f>'[1]ОМ-ЩП'!T65</f>
        <v>0</v>
      </c>
      <c r="V29" s="23">
        <f>'[1]ОМ-ЩП'!U65</f>
        <v>0</v>
      </c>
      <c r="W29" s="23">
        <f>'[1]ОМ-ЩП'!V65</f>
        <v>0</v>
      </c>
      <c r="X29" s="23">
        <f>'[1]ОМ-ЩП'!W65</f>
        <v>0</v>
      </c>
      <c r="Y29" s="23">
        <f>'[1]ОМ-ЩП'!X65</f>
        <v>0</v>
      </c>
      <c r="Z29" s="23">
        <f>'[1]ОМ-ЩП'!Y65</f>
        <v>48</v>
      </c>
      <c r="AA29" s="23">
        <f>'[1]ОМ-ЩП'!Z65</f>
        <v>0</v>
      </c>
      <c r="AB29" s="23">
        <f>'[1]ОМ-ЩП'!AA65</f>
        <v>0</v>
      </c>
      <c r="AC29" s="23">
        <f>'[1]ОМ-ЩП'!AB65</f>
        <v>0</v>
      </c>
      <c r="AD29" s="23">
        <f>'[1]ОМ-ЩП'!AC65</f>
        <v>48</v>
      </c>
      <c r="AE29" s="23">
        <f>'[1]ОМ-ЩП'!AD65</f>
        <v>0</v>
      </c>
      <c r="AF29" s="23">
        <f>'[1]ОМ-ЩП'!AE65</f>
        <v>0</v>
      </c>
      <c r="AG29" s="23">
        <f>'[1]ОМ-ЩП'!AF65</f>
        <v>48</v>
      </c>
      <c r="AH29" s="23">
        <f>'[1]ОМ-ЩП'!AG65</f>
        <v>0</v>
      </c>
      <c r="AI29" s="23">
        <f>'[1]ОМ-ЩП'!AH65</f>
        <v>48</v>
      </c>
      <c r="AJ29" s="23">
        <f>'[1]ОМ-ЩП'!AI65</f>
        <v>48</v>
      </c>
      <c r="AK29" s="23">
        <f>'[1]ОМ-ЩП'!AJ65</f>
        <v>48</v>
      </c>
      <c r="AL29" s="23">
        <f>'[1]ОМ-ЩП'!AK65</f>
        <v>48</v>
      </c>
      <c r="AM29" s="23">
        <f>'[1]ОМ-ЩП'!AL65</f>
        <v>48</v>
      </c>
      <c r="AN29" s="23">
        <f>'[1]ОМ-ЩП'!AM65</f>
        <v>48</v>
      </c>
      <c r="AO29" s="23">
        <f>'[1]ОМ-ЩП'!AN65</f>
        <v>48</v>
      </c>
      <c r="AP29" s="23">
        <f>'[1]ОМ-ЩП'!AO65</f>
        <v>0</v>
      </c>
      <c r="AQ29" s="23">
        <f>'[1]ОМ-ЩП'!AP65</f>
        <v>0</v>
      </c>
      <c r="AR29" s="23">
        <f>'[1]ОМ-ЩП'!AQ65</f>
        <v>340</v>
      </c>
      <c r="AS29" s="23">
        <f>'[1]ОМ-ЩП'!AR65</f>
        <v>0</v>
      </c>
      <c r="AT29" s="23">
        <f>'[1]ОМ-ЩП'!AS65</f>
        <v>0</v>
      </c>
    </row>
    <row r="30" spans="1:46" x14ac:dyDescent="0.25">
      <c r="A30" s="28">
        <v>13</v>
      </c>
      <c r="B30" s="36" t="s">
        <v>22</v>
      </c>
      <c r="C30" s="33">
        <f>COUNTA('[1]ОМ-П'!B17:B40)</f>
        <v>24</v>
      </c>
      <c r="D30" s="30">
        <f>'[1]ОМ-П'!C41</f>
        <v>48</v>
      </c>
      <c r="E30" s="30">
        <f>'[1]ОМ-П'!D41</f>
        <v>24</v>
      </c>
      <c r="F30" s="30">
        <f>'[1]ОМ-П'!E41</f>
        <v>24</v>
      </c>
      <c r="G30" s="30">
        <f>'[1]ОМ-П'!F41</f>
        <v>0</v>
      </c>
      <c r="H30" s="30">
        <f>'[1]ОМ-П'!G41</f>
        <v>120</v>
      </c>
      <c r="I30" s="30">
        <f>'[1]ОМ-П'!H41</f>
        <v>24</v>
      </c>
      <c r="J30" s="30">
        <f>'[1]ОМ-П'!I41</f>
        <v>24</v>
      </c>
      <c r="K30" s="30">
        <f>'[1]ОМ-П'!J41</f>
        <v>0</v>
      </c>
      <c r="L30" s="30">
        <f>'[1]ОМ-П'!K41</f>
        <v>24</v>
      </c>
      <c r="M30" s="30">
        <f>'[1]ОМ-П'!L41</f>
        <v>24</v>
      </c>
      <c r="N30" s="30">
        <f>'[1]ОМ-П'!M41</f>
        <v>24</v>
      </c>
      <c r="O30" s="30">
        <f>'[1]ОМ-П'!N41</f>
        <v>0</v>
      </c>
      <c r="P30" s="30">
        <f>'[1]ОМ-П'!O41</f>
        <v>24</v>
      </c>
      <c r="Q30" s="30">
        <f>'[1]ОМ-П'!P41</f>
        <v>24</v>
      </c>
      <c r="R30" s="30">
        <f>'[1]ОМ-П'!Q41</f>
        <v>0</v>
      </c>
      <c r="S30" s="30">
        <f>'[1]ОМ-П'!R41</f>
        <v>0</v>
      </c>
      <c r="T30" s="30">
        <f>'[1]ОМ-П'!S41</f>
        <v>24</v>
      </c>
      <c r="U30" s="30">
        <f>'[1]ОМ-П'!T41</f>
        <v>0</v>
      </c>
      <c r="V30" s="30">
        <f>'[1]ОМ-П'!U41</f>
        <v>24</v>
      </c>
      <c r="W30" s="30">
        <f>'[1]ОМ-П'!V41</f>
        <v>24</v>
      </c>
      <c r="X30" s="30">
        <f>'[1]ОМ-П'!W41</f>
        <v>0</v>
      </c>
      <c r="Y30" s="30">
        <f>'[1]ОМ-П'!X41</f>
        <v>0</v>
      </c>
      <c r="Z30" s="30">
        <f>'[1]ОМ-П'!Y41</f>
        <v>24</v>
      </c>
      <c r="AA30" s="30">
        <f>'[1]ОМ-П'!Z41</f>
        <v>0</v>
      </c>
      <c r="AB30" s="30">
        <f>'[1]ОМ-П'!AA41</f>
        <v>0</v>
      </c>
      <c r="AC30" s="30">
        <f>'[1]ОМ-П'!AB41</f>
        <v>0</v>
      </c>
      <c r="AD30" s="30">
        <f>'[1]ОМ-П'!AC41</f>
        <v>24</v>
      </c>
      <c r="AE30" s="30">
        <f>'[1]ОМ-П'!AD41</f>
        <v>0</v>
      </c>
      <c r="AF30" s="30">
        <f>'[1]ОМ-П'!AE41</f>
        <v>0</v>
      </c>
      <c r="AG30" s="30">
        <f>'[1]ОМ-П'!AF41</f>
        <v>0</v>
      </c>
      <c r="AH30" s="30">
        <f>'[1]ОМ-П'!AG41</f>
        <v>0</v>
      </c>
      <c r="AI30" s="30">
        <f>'[1]ОМ-П'!AH41</f>
        <v>0</v>
      </c>
      <c r="AJ30" s="30">
        <f>'[1]ОМ-П'!AI41</f>
        <v>0</v>
      </c>
      <c r="AK30" s="30">
        <f>'[1]ОМ-П'!AJ41</f>
        <v>0</v>
      </c>
      <c r="AL30" s="30">
        <f>'[1]ОМ-П'!AK41</f>
        <v>0</v>
      </c>
      <c r="AM30" s="30">
        <f>'[1]ОМ-П'!AL41</f>
        <v>0</v>
      </c>
      <c r="AN30" s="30">
        <f>'[1]ОМ-П'!AM41</f>
        <v>0</v>
      </c>
      <c r="AO30" s="30">
        <f>'[1]ОМ-П'!AN41</f>
        <v>24</v>
      </c>
      <c r="AP30" s="30">
        <f>'[1]ОМ-П'!AO41</f>
        <v>0</v>
      </c>
      <c r="AQ30" s="30">
        <f>'[1]ОМ-П'!AP41</f>
        <v>0</v>
      </c>
      <c r="AR30" s="30">
        <f>'[1]ОМ-П'!AQ41</f>
        <v>300</v>
      </c>
      <c r="AS30" s="30">
        <f>'[1]ОМ-П'!AR41</f>
        <v>0</v>
      </c>
      <c r="AT30" s="30">
        <f>'[1]ОМ-П'!AS41</f>
        <v>0</v>
      </c>
    </row>
    <row r="31" spans="1:46" x14ac:dyDescent="0.25">
      <c r="A31" s="28">
        <v>14</v>
      </c>
      <c r="B31" s="36" t="s">
        <v>23</v>
      </c>
      <c r="C31" s="33">
        <f>COUNTA('[1]ОМ-С'!B17:B28)</f>
        <v>12</v>
      </c>
      <c r="D31" s="30">
        <f>'[1]ОМ-С'!C29</f>
        <v>24</v>
      </c>
      <c r="E31" s="30">
        <f>'[1]ОМ-С'!D29</f>
        <v>12</v>
      </c>
      <c r="F31" s="30">
        <f>'[1]ОМ-С'!E29</f>
        <v>12</v>
      </c>
      <c r="G31" s="30">
        <f>'[1]ОМ-С'!F29</f>
        <v>0</v>
      </c>
      <c r="H31" s="30">
        <f>'[1]ОМ-С'!G29</f>
        <v>60</v>
      </c>
      <c r="I31" s="30">
        <f>'[1]ОМ-С'!H29</f>
        <v>12</v>
      </c>
      <c r="J31" s="30">
        <f>'[1]ОМ-С'!I29</f>
        <v>12</v>
      </c>
      <c r="K31" s="30">
        <f>'[1]ОМ-С'!J29</f>
        <v>0</v>
      </c>
      <c r="L31" s="30">
        <f>'[1]ОМ-С'!K29</f>
        <v>12</v>
      </c>
      <c r="M31" s="30">
        <f>'[1]ОМ-С'!L29</f>
        <v>12</v>
      </c>
      <c r="N31" s="30">
        <f>'[1]ОМ-С'!M29</f>
        <v>12</v>
      </c>
      <c r="O31" s="30">
        <f>'[1]ОМ-С'!N29</f>
        <v>0</v>
      </c>
      <c r="P31" s="30">
        <f>'[1]ОМ-С'!O29</f>
        <v>0</v>
      </c>
      <c r="Q31" s="30">
        <f>'[1]ОМ-С'!P29</f>
        <v>12</v>
      </c>
      <c r="R31" s="30">
        <f>'[1]ОМ-С'!Q29</f>
        <v>0</v>
      </c>
      <c r="S31" s="30">
        <f>'[1]ОМ-С'!R29</f>
        <v>0</v>
      </c>
      <c r="T31" s="30">
        <f>'[1]ОМ-С'!S29</f>
        <v>12</v>
      </c>
      <c r="U31" s="30">
        <f>'[1]ОМ-С'!T29</f>
        <v>0</v>
      </c>
      <c r="V31" s="30">
        <f>'[1]ОМ-С'!U29</f>
        <v>0</v>
      </c>
      <c r="W31" s="30">
        <f>'[1]ОМ-С'!V29</f>
        <v>0</v>
      </c>
      <c r="X31" s="30">
        <f>'[1]ОМ-С'!W29</f>
        <v>0</v>
      </c>
      <c r="Y31" s="30">
        <f>'[1]ОМ-С'!X29</f>
        <v>0</v>
      </c>
      <c r="Z31" s="30">
        <f>'[1]ОМ-С'!Y29</f>
        <v>12</v>
      </c>
      <c r="AA31" s="30">
        <f>'[1]ОМ-С'!Z29</f>
        <v>0</v>
      </c>
      <c r="AB31" s="30">
        <f>'[1]ОМ-С'!AA29</f>
        <v>0</v>
      </c>
      <c r="AC31" s="30">
        <f>'[1]ОМ-С'!AB29</f>
        <v>0</v>
      </c>
      <c r="AD31" s="30">
        <f>'[1]ОМ-С'!AC29</f>
        <v>12</v>
      </c>
      <c r="AE31" s="30">
        <f>'[1]ОМ-С'!AD29</f>
        <v>0</v>
      </c>
      <c r="AF31" s="30">
        <f>'[1]ОМ-С'!AE29</f>
        <v>0</v>
      </c>
      <c r="AG31" s="30">
        <f>'[1]ОМ-С'!AF29</f>
        <v>0</v>
      </c>
      <c r="AH31" s="30">
        <f>'[1]ОМ-С'!AG29</f>
        <v>0</v>
      </c>
      <c r="AI31" s="30">
        <f>'[1]ОМ-С'!AH29</f>
        <v>0</v>
      </c>
      <c r="AJ31" s="30">
        <f>'[1]ОМ-С'!AI29</f>
        <v>0</v>
      </c>
      <c r="AK31" s="30">
        <f>'[1]ОМ-С'!AJ29</f>
        <v>0</v>
      </c>
      <c r="AL31" s="30">
        <f>'[1]ОМ-С'!AK29</f>
        <v>0</v>
      </c>
      <c r="AM31" s="30">
        <f>'[1]ОМ-С'!AL29</f>
        <v>0</v>
      </c>
      <c r="AN31" s="30">
        <f>'[1]ОМ-С'!AM29</f>
        <v>0</v>
      </c>
      <c r="AO31" s="30">
        <f>'[1]ОМ-С'!AN29</f>
        <v>12</v>
      </c>
      <c r="AP31" s="30">
        <f>'[1]ОМ-С'!AO29</f>
        <v>0</v>
      </c>
      <c r="AQ31" s="30">
        <f>'[1]ОМ-С'!AP29</f>
        <v>0</v>
      </c>
      <c r="AR31" s="30">
        <f>'[1]ОМ-С'!AQ29</f>
        <v>70</v>
      </c>
      <c r="AS31" s="30">
        <f>'[1]ОМ-С'!AR29</f>
        <v>0</v>
      </c>
      <c r="AT31" s="30">
        <f>'[1]ОМ-С'!AS29</f>
        <v>0</v>
      </c>
    </row>
    <row r="32" spans="1:46" ht="21.75" thickBot="1" x14ac:dyDescent="0.3">
      <c r="A32" s="24">
        <v>15</v>
      </c>
      <c r="B32" s="37" t="s">
        <v>24</v>
      </c>
      <c r="C32" s="38">
        <f>COUNTA('[1]ОМ-СД'!B17:B20)</f>
        <v>4</v>
      </c>
      <c r="D32" s="31">
        <f>'[1]ОМ-СД'!C21</f>
        <v>8</v>
      </c>
      <c r="E32" s="31">
        <f>'[1]ОМ-СД'!D21</f>
        <v>4</v>
      </c>
      <c r="F32" s="31">
        <f>'[1]ОМ-СД'!E21</f>
        <v>4</v>
      </c>
      <c r="G32" s="31">
        <f>'[1]ОМ-СД'!F21</f>
        <v>0</v>
      </c>
      <c r="H32" s="31">
        <f>'[1]ОМ-СД'!G21</f>
        <v>20</v>
      </c>
      <c r="I32" s="31">
        <f>'[1]ОМ-СД'!H21</f>
        <v>4</v>
      </c>
      <c r="J32" s="31">
        <f>'[1]ОМ-СД'!I21</f>
        <v>4</v>
      </c>
      <c r="K32" s="31">
        <f>'[1]ОМ-СД'!J21</f>
        <v>0</v>
      </c>
      <c r="L32" s="31">
        <f>'[1]ОМ-СД'!K21</f>
        <v>4</v>
      </c>
      <c r="M32" s="31">
        <f>'[1]ОМ-СД'!L21</f>
        <v>4</v>
      </c>
      <c r="N32" s="31">
        <f>'[1]ОМ-СД'!M21</f>
        <v>0</v>
      </c>
      <c r="O32" s="31">
        <f>'[1]ОМ-СД'!N21</f>
        <v>0</v>
      </c>
      <c r="P32" s="31">
        <f>'[1]ОМ-СД'!O21</f>
        <v>0</v>
      </c>
      <c r="Q32" s="31">
        <f>'[1]ОМ-СД'!P21</f>
        <v>0</v>
      </c>
      <c r="R32" s="31">
        <f>'[1]ОМ-СД'!Q21</f>
        <v>0</v>
      </c>
      <c r="S32" s="31">
        <f>'[1]ОМ-СД'!R21</f>
        <v>0</v>
      </c>
      <c r="T32" s="31">
        <f>'[1]ОМ-СД'!S21</f>
        <v>0</v>
      </c>
      <c r="U32" s="31">
        <f>'[1]ОМ-СД'!T21</f>
        <v>0</v>
      </c>
      <c r="V32" s="31">
        <f>'[1]ОМ-СД'!U21</f>
        <v>0</v>
      </c>
      <c r="W32" s="31">
        <f>'[1]ОМ-СД'!V21</f>
        <v>0</v>
      </c>
      <c r="X32" s="31">
        <f>'[1]ОМ-СД'!W21</f>
        <v>0</v>
      </c>
      <c r="Y32" s="31">
        <f>'[1]ОМ-СД'!X21</f>
        <v>0</v>
      </c>
      <c r="Z32" s="31">
        <f>'[1]ОМ-СД'!Y21</f>
        <v>4</v>
      </c>
      <c r="AA32" s="31">
        <f>'[1]ОМ-СД'!Z21</f>
        <v>4</v>
      </c>
      <c r="AB32" s="31">
        <f>'[1]ОМ-СД'!AA21</f>
        <v>4</v>
      </c>
      <c r="AC32" s="31">
        <f>'[1]ОМ-СД'!AB21</f>
        <v>4</v>
      </c>
      <c r="AD32" s="31">
        <f>'[1]ОМ-СД'!AC21</f>
        <v>4</v>
      </c>
      <c r="AE32" s="31">
        <f>'[1]ОМ-СД'!AD21</f>
        <v>4</v>
      </c>
      <c r="AF32" s="31">
        <f>'[1]ОМ-СД'!AE21</f>
        <v>4</v>
      </c>
      <c r="AG32" s="31">
        <f>'[1]ОМ-СД'!AF21</f>
        <v>0</v>
      </c>
      <c r="AH32" s="31">
        <f>'[1]ОМ-СД'!AG21</f>
        <v>0</v>
      </c>
      <c r="AI32" s="31">
        <f>'[1]ОМ-СД'!AH21</f>
        <v>0</v>
      </c>
      <c r="AJ32" s="31">
        <f>'[1]ОМ-СД'!AI21</f>
        <v>0</v>
      </c>
      <c r="AK32" s="31">
        <f>'[1]ОМ-СД'!AJ21</f>
        <v>0</v>
      </c>
      <c r="AL32" s="31">
        <f>'[1]ОМ-СД'!AK21</f>
        <v>0</v>
      </c>
      <c r="AM32" s="31">
        <f>'[1]ОМ-СД'!AL21</f>
        <v>0</v>
      </c>
      <c r="AN32" s="31">
        <f>'[1]ОМ-СД'!AM21</f>
        <v>0</v>
      </c>
      <c r="AO32" s="31">
        <f>'[1]ОМ-СД'!AN21</f>
        <v>0</v>
      </c>
      <c r="AP32" s="31">
        <f>'[1]ОМ-СД'!AO21</f>
        <v>0</v>
      </c>
      <c r="AQ32" s="31">
        <f>'[1]ОМ-СД'!AP21</f>
        <v>0</v>
      </c>
      <c r="AR32" s="31">
        <f>'[1]ОМ-СД'!AQ21</f>
        <v>0</v>
      </c>
      <c r="AS32" s="31">
        <f>'[1]ОМ-СД'!AR21</f>
        <v>0</v>
      </c>
      <c r="AT32" s="31">
        <f>'[1]ОМ-СД'!AS21</f>
        <v>0</v>
      </c>
    </row>
    <row r="33" spans="1:46" ht="21.75" thickBot="1" x14ac:dyDescent="0.3">
      <c r="A33" s="20">
        <v>16</v>
      </c>
      <c r="B33" s="35" t="s">
        <v>25</v>
      </c>
      <c r="C33" s="27">
        <f>COUNTA('[1]ППБ-П'!B17:B22)</f>
        <v>6</v>
      </c>
      <c r="D33" s="31">
        <f>'[1]ППБ-П'!C23</f>
        <v>0</v>
      </c>
      <c r="E33" s="31">
        <f>'[1]ППБ-П'!D23</f>
        <v>12</v>
      </c>
      <c r="F33" s="31">
        <f>'[1]ППБ-П'!E23</f>
        <v>0</v>
      </c>
      <c r="G33" s="31">
        <f>'[1]ППБ-П'!F23</f>
        <v>12</v>
      </c>
      <c r="H33" s="31">
        <f>'[1]ППБ-П'!G23</f>
        <v>0</v>
      </c>
      <c r="I33" s="31">
        <f>'[1]ППБ-П'!H23</f>
        <v>0</v>
      </c>
      <c r="J33" s="31">
        <f>'[1]ППБ-П'!I23</f>
        <v>12</v>
      </c>
      <c r="K33" s="31">
        <f>'[1]ППБ-П'!J23</f>
        <v>6</v>
      </c>
      <c r="L33" s="31">
        <f>'[1]ППБ-П'!K23</f>
        <v>12</v>
      </c>
      <c r="M33" s="31">
        <f>'[1]ППБ-П'!L23</f>
        <v>12</v>
      </c>
      <c r="N33" s="31">
        <f>'[1]ППБ-П'!M23</f>
        <v>6</v>
      </c>
      <c r="O33" s="31">
        <f>'[1]ППБ-П'!N23</f>
        <v>0</v>
      </c>
      <c r="P33" s="31">
        <f>'[1]ППБ-П'!O23</f>
        <v>6</v>
      </c>
      <c r="Q33" s="31">
        <f>'[1]ППБ-П'!P23</f>
        <v>12</v>
      </c>
      <c r="R33" s="31">
        <f>'[1]ППБ-П'!Q23</f>
        <v>6</v>
      </c>
      <c r="S33" s="31">
        <f>'[1]ППБ-П'!R23</f>
        <v>0</v>
      </c>
      <c r="T33" s="31">
        <f>'[1]ППБ-П'!S23</f>
        <v>0</v>
      </c>
      <c r="U33" s="31">
        <f>'[1]ППБ-П'!T23</f>
        <v>0</v>
      </c>
      <c r="V33" s="31">
        <f>'[1]ППБ-П'!U23</f>
        <v>6</v>
      </c>
      <c r="W33" s="31">
        <f>'[1]ППБ-П'!V23</f>
        <v>0</v>
      </c>
      <c r="X33" s="31">
        <f>'[1]ППБ-П'!W23</f>
        <v>0</v>
      </c>
      <c r="Y33" s="31">
        <f>'[1]ППБ-П'!X23</f>
        <v>0</v>
      </c>
      <c r="Z33" s="31">
        <f>'[1]ППБ-П'!Y23</f>
        <v>6</v>
      </c>
      <c r="AA33" s="31">
        <f>'[1]ППБ-П'!Z23</f>
        <v>6</v>
      </c>
      <c r="AB33" s="31">
        <f>'[1]ППБ-П'!AA23</f>
        <v>0</v>
      </c>
      <c r="AC33" s="31">
        <f>'[1]ППБ-П'!AB23</f>
        <v>0</v>
      </c>
      <c r="AD33" s="31">
        <f>'[1]ППБ-П'!AC23</f>
        <v>0</v>
      </c>
      <c r="AE33" s="31">
        <f>'[1]ППБ-П'!AD23</f>
        <v>6</v>
      </c>
      <c r="AF33" s="31">
        <f>'[1]ППБ-П'!AE23</f>
        <v>0</v>
      </c>
      <c r="AG33" s="31">
        <f>'[1]ППБ-П'!AF23</f>
        <v>0</v>
      </c>
      <c r="AH33" s="31">
        <f>'[1]ППБ-П'!AG23</f>
        <v>6</v>
      </c>
      <c r="AI33" s="31">
        <f>'[1]ППБ-П'!AH23</f>
        <v>0</v>
      </c>
      <c r="AJ33" s="31">
        <f>'[1]ППБ-П'!AI23</f>
        <v>0</v>
      </c>
      <c r="AK33" s="31">
        <f>'[1]ППБ-П'!AJ23</f>
        <v>0</v>
      </c>
      <c r="AL33" s="31">
        <f>'[1]ППБ-П'!AK23</f>
        <v>0</v>
      </c>
      <c r="AM33" s="31">
        <f>'[1]ППБ-П'!AL23</f>
        <v>6</v>
      </c>
      <c r="AN33" s="31">
        <f>'[1]ППБ-П'!AM23</f>
        <v>0</v>
      </c>
      <c r="AO33" s="31">
        <f>'[1]ППБ-П'!AN23</f>
        <v>6</v>
      </c>
      <c r="AP33" s="31">
        <f>'[1]ППБ-П'!AO23</f>
        <v>6</v>
      </c>
      <c r="AQ33" s="31">
        <f>'[1]ППБ-П'!AP23</f>
        <v>0</v>
      </c>
      <c r="AR33" s="31">
        <f>'[1]ППБ-П'!AQ23</f>
        <v>150</v>
      </c>
      <c r="AS33" s="31">
        <f>'[1]ППБ-П'!AR23</f>
        <v>0</v>
      </c>
      <c r="AT33" s="31">
        <f>'[1]ППБ-П'!AS23</f>
        <v>10</v>
      </c>
    </row>
    <row r="34" spans="1:46" ht="21.75" hidden="1" thickBot="1" x14ac:dyDescent="0.3">
      <c r="A34" s="39">
        <v>17</v>
      </c>
      <c r="B34" s="37" t="s">
        <v>26</v>
      </c>
      <c r="C34" s="27">
        <v>0</v>
      </c>
      <c r="D34" s="31">
        <f>'[1]ППБ-С'!C17</f>
        <v>0</v>
      </c>
      <c r="E34" s="31">
        <f>'[1]ППБ-С'!D17</f>
        <v>0</v>
      </c>
      <c r="F34" s="31">
        <f>'[1]ППБ-С'!E17</f>
        <v>0</v>
      </c>
      <c r="G34" s="31">
        <f>'[1]ППБ-С'!F17</f>
        <v>0</v>
      </c>
      <c r="H34" s="31">
        <f>'[1]ППБ-С'!G17</f>
        <v>0</v>
      </c>
      <c r="I34" s="31">
        <f>'[1]ППБ-С'!H17</f>
        <v>0</v>
      </c>
      <c r="J34" s="31">
        <f>'[1]ППБ-С'!I17</f>
        <v>0</v>
      </c>
      <c r="K34" s="31">
        <f>'[1]ППБ-С'!J17</f>
        <v>0</v>
      </c>
      <c r="L34" s="31">
        <f>'[1]ППБ-С'!K17</f>
        <v>0</v>
      </c>
      <c r="M34" s="31">
        <f>'[1]ППБ-С'!L17</f>
        <v>0</v>
      </c>
      <c r="N34" s="31">
        <f>'[1]ППБ-С'!M17</f>
        <v>0</v>
      </c>
      <c r="O34" s="31">
        <f>'[1]ППБ-С'!N17</f>
        <v>0</v>
      </c>
      <c r="P34" s="31">
        <f>'[1]ППБ-С'!O17</f>
        <v>0</v>
      </c>
      <c r="Q34" s="31">
        <f>'[1]ППБ-С'!P17</f>
        <v>0</v>
      </c>
      <c r="R34" s="31">
        <f>'[1]ППБ-С'!Q17</f>
        <v>0</v>
      </c>
      <c r="S34" s="31">
        <f>'[1]ППБ-С'!R17</f>
        <v>0</v>
      </c>
      <c r="T34" s="31">
        <f>'[1]ППБ-С'!S17</f>
        <v>0</v>
      </c>
      <c r="U34" s="31">
        <f>'[1]ППБ-С'!T17</f>
        <v>0</v>
      </c>
      <c r="V34" s="31">
        <f>'[1]ППБ-С'!U17</f>
        <v>0</v>
      </c>
      <c r="W34" s="31">
        <f>'[1]ППБ-С'!V17</f>
        <v>0</v>
      </c>
      <c r="X34" s="31">
        <f>'[1]ППБ-С'!W17</f>
        <v>0</v>
      </c>
      <c r="Y34" s="31">
        <f>'[1]ППБ-С'!X17</f>
        <v>0</v>
      </c>
      <c r="Z34" s="31">
        <f>'[1]ППБ-С'!Y17</f>
        <v>0</v>
      </c>
      <c r="AA34" s="31">
        <f>'[1]ППБ-С'!Z17</f>
        <v>0</v>
      </c>
      <c r="AB34" s="31">
        <f>'[1]ППБ-С'!AA17</f>
        <v>0</v>
      </c>
      <c r="AC34" s="31">
        <f>'[1]ППБ-С'!AB17</f>
        <v>0</v>
      </c>
      <c r="AD34" s="31">
        <f>'[1]ППБ-С'!AC17</f>
        <v>0</v>
      </c>
      <c r="AE34" s="31">
        <f>'[1]ППБ-С'!AD17</f>
        <v>0</v>
      </c>
      <c r="AF34" s="31">
        <f>'[1]ППБ-С'!AE17</f>
        <v>0</v>
      </c>
      <c r="AG34" s="31">
        <f>'[1]ППБ-С'!AF17</f>
        <v>0</v>
      </c>
      <c r="AH34" s="31">
        <f>'[1]ППБ-С'!AG17</f>
        <v>0</v>
      </c>
      <c r="AI34" s="31">
        <f>'[1]ППБ-С'!AH17</f>
        <v>0</v>
      </c>
      <c r="AJ34" s="31">
        <f>'[1]ППБ-С'!AI17</f>
        <v>0</v>
      </c>
      <c r="AK34" s="31">
        <f>'[1]ППБ-С'!AJ17</f>
        <v>0</v>
      </c>
      <c r="AL34" s="31">
        <f>'[1]ППБ-С'!AK17</f>
        <v>0</v>
      </c>
      <c r="AM34" s="31">
        <f>'[1]ППБ-С'!AL17</f>
        <v>0</v>
      </c>
      <c r="AN34" s="31">
        <f>'[1]ППБ-С'!AM17</f>
        <v>0</v>
      </c>
      <c r="AO34" s="31">
        <f>'[1]ППБ-С'!AN17</f>
        <v>0</v>
      </c>
      <c r="AP34" s="31">
        <f>'[1]ППБ-С'!AO17</f>
        <v>0</v>
      </c>
      <c r="AQ34" s="31">
        <f>'[1]ППБ-С'!AP17</f>
        <v>0</v>
      </c>
      <c r="AR34" s="31">
        <f>'[1]ППБ-С'!AQ17</f>
        <v>0</v>
      </c>
      <c r="AS34" s="31">
        <f>'[1]ППБ-С'!AR17</f>
        <v>0</v>
      </c>
      <c r="AT34" s="31">
        <f>'[1]ППБ-С'!AS17</f>
        <v>0</v>
      </c>
    </row>
    <row r="35" spans="1:46" x14ac:dyDescent="0.25">
      <c r="A35" s="40"/>
      <c r="B35" s="41" t="s">
        <v>27</v>
      </c>
      <c r="C35" s="42">
        <f t="shared" ref="C35" si="0">SUM(C18:C34)</f>
        <v>439</v>
      </c>
      <c r="D35" s="43">
        <f>SUM(D18:D33)</f>
        <v>848</v>
      </c>
      <c r="E35" s="43">
        <f t="shared" ref="E35:AT35" si="1">SUM(E18:E33)</f>
        <v>436</v>
      </c>
      <c r="F35" s="43">
        <f t="shared" si="1"/>
        <v>327</v>
      </c>
      <c r="G35" s="43">
        <f t="shared" si="1"/>
        <v>12</v>
      </c>
      <c r="H35" s="43">
        <f t="shared" si="1"/>
        <v>2110</v>
      </c>
      <c r="I35" s="43">
        <f t="shared" si="1"/>
        <v>376</v>
      </c>
      <c r="J35" s="43">
        <f t="shared" si="1"/>
        <v>388</v>
      </c>
      <c r="K35" s="43">
        <f t="shared" si="1"/>
        <v>6</v>
      </c>
      <c r="L35" s="43">
        <f t="shared" si="1"/>
        <v>388</v>
      </c>
      <c r="M35" s="43">
        <f t="shared" si="1"/>
        <v>388</v>
      </c>
      <c r="N35" s="43">
        <f t="shared" si="1"/>
        <v>370</v>
      </c>
      <c r="O35" s="43">
        <f t="shared" si="1"/>
        <v>0</v>
      </c>
      <c r="P35" s="43">
        <f t="shared" si="1"/>
        <v>263</v>
      </c>
      <c r="Q35" s="43">
        <f t="shared" si="1"/>
        <v>376</v>
      </c>
      <c r="R35" s="43">
        <f t="shared" si="1"/>
        <v>6</v>
      </c>
      <c r="S35" s="43">
        <f t="shared" si="1"/>
        <v>0</v>
      </c>
      <c r="T35" s="43">
        <f t="shared" si="1"/>
        <v>412</v>
      </c>
      <c r="U35" s="43">
        <f t="shared" si="1"/>
        <v>0</v>
      </c>
      <c r="V35" s="43">
        <f t="shared" si="1"/>
        <v>215</v>
      </c>
      <c r="W35" s="43">
        <f t="shared" si="1"/>
        <v>209</v>
      </c>
      <c r="X35" s="43">
        <f t="shared" si="1"/>
        <v>0</v>
      </c>
      <c r="Y35" s="43">
        <f t="shared" si="1"/>
        <v>0</v>
      </c>
      <c r="Z35" s="43">
        <f t="shared" si="1"/>
        <v>332</v>
      </c>
      <c r="AA35" s="43">
        <f t="shared" si="1"/>
        <v>18</v>
      </c>
      <c r="AB35" s="43">
        <f t="shared" si="1"/>
        <v>12</v>
      </c>
      <c r="AC35" s="43">
        <f t="shared" si="1"/>
        <v>12</v>
      </c>
      <c r="AD35" s="43">
        <f t="shared" si="1"/>
        <v>424</v>
      </c>
      <c r="AE35" s="43">
        <f t="shared" si="1"/>
        <v>18</v>
      </c>
      <c r="AF35" s="43">
        <f t="shared" si="1"/>
        <v>12</v>
      </c>
      <c r="AG35" s="43">
        <f t="shared" si="1"/>
        <v>48</v>
      </c>
      <c r="AH35" s="43">
        <f t="shared" si="1"/>
        <v>6</v>
      </c>
      <c r="AI35" s="43">
        <f t="shared" si="1"/>
        <v>48</v>
      </c>
      <c r="AJ35" s="43">
        <f t="shared" si="1"/>
        <v>48</v>
      </c>
      <c r="AK35" s="43">
        <f t="shared" si="1"/>
        <v>48</v>
      </c>
      <c r="AL35" s="43">
        <f t="shared" si="1"/>
        <v>48</v>
      </c>
      <c r="AM35" s="43">
        <f t="shared" si="1"/>
        <v>54</v>
      </c>
      <c r="AN35" s="43">
        <f t="shared" si="1"/>
        <v>48</v>
      </c>
      <c r="AO35" s="43">
        <f t="shared" si="1"/>
        <v>372</v>
      </c>
      <c r="AP35" s="43">
        <f t="shared" si="1"/>
        <v>6</v>
      </c>
      <c r="AQ35" s="43">
        <f t="shared" si="1"/>
        <v>0</v>
      </c>
      <c r="AR35" s="43">
        <f t="shared" si="1"/>
        <v>4900</v>
      </c>
      <c r="AS35" s="43">
        <f t="shared" si="1"/>
        <v>0</v>
      </c>
      <c r="AT35" s="43">
        <f t="shared" si="1"/>
        <v>106</v>
      </c>
    </row>
  </sheetData>
  <mergeCells count="9">
    <mergeCell ref="A10:AT10"/>
    <mergeCell ref="A11:AT11"/>
    <mergeCell ref="A12:AT12"/>
    <mergeCell ref="S13:T13"/>
    <mergeCell ref="U13:V13"/>
    <mergeCell ref="A15:A17"/>
    <mergeCell ref="B15:B17"/>
    <mergeCell ref="C15:C16"/>
    <mergeCell ref="D15:AT15"/>
  </mergeCells>
  <conditionalFormatting sqref="C18:AT35">
    <cfRule type="cellIs" dxfId="0" priority="1" operator="equal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2026-03-01T11:58:59Z</dcterms:created>
  <dcterms:modified xsi:type="dcterms:W3CDTF">2026-03-01T11:59:28Z</dcterms:modified>
</cp:coreProperties>
</file>